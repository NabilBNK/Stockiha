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<sst xmlns="http://schemas.openxmlformats.org/spreadsheetml/2006/main" count="91" uniqueCount="28">
  <si>
    <t xml:space="preserve">Txn No. (Auto)</t>
  </si>
  <si>
    <t xml:space="preserve">Date</t>
  </si>
  <si>
    <t xml:space="preserve">Type</t>
  </si>
  <si>
    <t xml:space="preserve">Paid</t>
  </si>
  <si>
    <t xml:space="preserve">Party / Company (Optional)</t>
  </si>
  <si>
    <t xml:space="preserve">Product Name (Optional)</t>
  </si>
  <si>
    <t xml:space="preserve">Brand (Optional)</t>
  </si>
  <si>
    <t xml:space="preserve">Custom Details (Optional)</t>
  </si>
  <si>
    <t xml:space="preserve">Quantity</t>
  </si>
  <si>
    <t xml:space="preserve">Unit Price</t>
  </si>
  <si>
    <t xml:space="preserve">Line Total</t>
  </si>
  <si>
    <t xml:space="preserve">Benefit (Sell Only)</t>
  </si>
  <si>
    <t xml:space="preserve">Page No.
(Optional)</t>
  </si>
  <si>
    <t xml:space="preserve">couette</t>
  </si>
  <si>
    <t xml:space="preserve">15/052025</t>
  </si>
  <si>
    <t xml:space="preserve">Buy</t>
  </si>
  <si>
    <t xml:space="preserve">Sale</t>
  </si>
  <si>
    <t xml:space="preserve">yes</t>
  </si>
  <si>
    <t xml:space="preserve">Sell</t>
  </si>
  <si>
    <t xml:space="preserve">pillow</t>
  </si>
  <si>
    <t xml:space="preserve">abc</t>
  </si>
  <si>
    <t xml:space="preserve">Expense</t>
  </si>
  <si>
    <t xml:space="preserve">Transport</t>
  </si>
  <si>
    <t xml:space="preserve">Supplier Alpha</t>
  </si>
  <si>
    <t xml:space="preserve">Supplier Beta</t>
  </si>
  <si>
    <t xml:space="preserve">Not Paid</t>
  </si>
  <si>
    <t xml:space="preserve">5 000,50</t>
  </si>
  <si>
    <t xml:space="preserve">Client Amel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</si>
</sst>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</row>
    <row r="2" customFormat="false" ht="15" hidden="false" customHeight="false" outlineLevel="0" collapsed="false">
      <c r="A2" s="0" t="str">
        <f aca="false">IF(C2&lt;&gt;"","TX-"&amp;TEXT(COUNTIF($C$2:C2,"&lt;&gt;"),"000000"),IF(OR(B2&lt;&gt;"",D2&lt;&gt;"",E2&lt;&gt;"",F2&lt;&gt;"",G2&lt;&gt;"",H2&lt;&gt;"",I2&lt;&gt;"",J2&lt;&gt;"",L2&lt;&gt;"",M2&lt;&gt;""),IF(COUNTIF($C$2:C2,"&lt;&gt;")=0,"",A1),""))</f>
        <v/>
      </c>
      <c r="F2" s="0" t="s">
        <v>13</v>
      </c>
      <c r="I2" s="2" t="n">
        <v>2</v>
      </c>
      <c r="J2" s="2" t="n">
        <v>5000</v>
      </c>
      <c r="K2" s="2" t="n">
        <f aca="false">IF(OR(I2="",J2=""),"",I2*J2)</f>
        <v>10000</v>
      </c>
    </row>
    <row r="3" customFormat="false" ht="15" hidden="false" customHeight="false" outlineLevel="0" collapsed="false">
      <c r="A3" s="0" t="str">
        <f aca="false">IF(C3&lt;&gt;"","TX-"&amp;TEXT(COUNTIF($C$2:C3,"&lt;&gt;"),"000000"),IF(OR(B3&lt;&gt;"",D3&lt;&gt;"",E3&lt;&gt;"",F3&lt;&gt;"",G3&lt;&gt;"",H3&lt;&gt;"",I3&lt;&gt;"",J3&lt;&gt;"",L3&lt;&gt;"",M3&lt;&gt;""),IF(COUNTIF($C$2:C3,"&lt;&gt;")=0,"",A2),""))</f>
        <v>TX-000001</v>
      </c>
      <c r="B3" s="0" t="s">
        <v>14</v>
      </c>
      <c r="C3" s="0" t="s">
        <v>15</v>
      </c>
      <c r="D3" s="0" t="s">
        <v>3</v>
      </c>
      <c r="F3" s="0" t="s">
        <v>13</v>
      </c>
      <c r="I3" s="2" t="n">
        <v>1</v>
      </c>
      <c r="J3" s="2" t="n">
        <v>5000</v>
      </c>
      <c r="K3" s="2" t="n">
        <f aca="false">IF(OR(I3="",J3=""),"",I3*J3)</f>
        <v>5000</v>
      </c>
    </row>
    <row r="4" customFormat="false" ht="15" hidden="false" customHeight="false" outlineLevel="0" collapsed="false">
      <c r="A4" s="0" t="str">
        <f aca="false">IF(C4&lt;&gt;"","TX-"&amp;TEXT(COUNTIF($C$2:C4,"&lt;&gt;"),"000000"),IF(OR(B4&lt;&gt;"",D4&lt;&gt;"",E4&lt;&gt;"",F4&lt;&gt;"",G4&lt;&gt;"",H4&lt;&gt;"",I4&lt;&gt;"",J4&lt;&gt;"",L4&lt;&gt;"",M4&lt;&gt;""),IF(COUNTIF($C$2:C4,"&lt;&gt;")=0,"",A3),""))</f>
        <v>TX-000002</v>
      </c>
      <c r="C4" s="0" t="s">
        <v>15</v>
      </c>
      <c r="D4" s="0" t="s">
        <v>3</v>
      </c>
      <c r="F4" s="0" t="s">
        <v>13</v>
      </c>
      <c r="I4" s="2" t="n">
        <v>1</v>
      </c>
      <c r="J4" s="2" t="n">
        <v>5000</v>
      </c>
      <c r="K4" s="2" t="n">
        <f aca="false">IF(OR(I4="",J4=""),"",I4*J4)</f>
        <v>5000</v>
      </c>
    </row>
    <row r="5" customFormat="false" ht="15" hidden="false" customHeight="false" outlineLevel="0" collapsed="false">
      <c r="A5" s="0" t="str">
        <f aca="false">IF(C5&lt;&gt;"","TX-"&amp;TEXT(COUNTIF($C$2:C5,"&lt;&gt;"),"000000"),IF(OR(B5&lt;&gt;"",D5&lt;&gt;"",E5&lt;&gt;"",F5&lt;&gt;"",G5&lt;&gt;"",H5&lt;&gt;"",I5&lt;&gt;"",J5&lt;&gt;"",L5&lt;&gt;"",M5&lt;&gt;""),IF(COUNTIF($C$2:C5,"&lt;&gt;")=0,"",A4),""))</f>
        <v>TX-000003</v>
      </c>
      <c r="B5" s="3" t="n">
        <v>45841</v>
      </c>
      <c r="C5" s="4" t="s">
        <v>16</v>
      </c>
      <c r="D5" s="4" t="s">
        <v>3</v>
      </c>
      <c r="F5" s="4" t="s">
        <v>13</v>
      </c>
      <c r="I5" s="2" t="n">
        <v>1</v>
      </c>
      <c r="J5" s="2" t="n">
        <v>5000</v>
      </c>
      <c r="K5" s="2" t="n">
        <f aca="false">IF(OR(I5="",J5=""),"",I5*J5)</f>
        <v>5000</v>
      </c>
    </row>
    <row r="6" customFormat="false" ht="15" hidden="false" customHeight="false" outlineLevel="0" collapsed="false">
      <c r="A6" s="0" t="str">
        <f aca="false">IF(C6&lt;&gt;"","TX-"&amp;TEXT(COUNTIF($C$2:C6,"&lt;&gt;"),"000000"),IF(OR(B6&lt;&gt;"",D6&lt;&gt;"",E6&lt;&gt;"",F6&lt;&gt;"",G6&lt;&gt;"",H6&lt;&gt;"",I6&lt;&gt;"",J6&lt;&gt;"",L6&lt;&gt;"",M6&lt;&gt;""),IF(COUNTIF($C$2:C6,"&lt;&gt;")=0,"",A5),""))</f>
        <v>TX-000004</v>
      </c>
      <c r="B6" s="3" t="n">
        <v>45842</v>
      </c>
      <c r="C6" s="4" t="s">
        <v>15</v>
      </c>
      <c r="F6" s="4" t="s">
        <v>13</v>
      </c>
      <c r="I6" s="2" t="n">
        <v>1</v>
      </c>
      <c r="J6" s="2" t="n">
        <v>5000</v>
      </c>
      <c r="K6" s="2" t="n">
        <f aca="false">IF(OR(I6="",J6=""),"",I6*J6)</f>
        <v>5000</v>
      </c>
    </row>
    <row r="7" customFormat="false" ht="15" hidden="false" customHeight="false" outlineLevel="0" collapsed="false">
      <c r="A7" s="0" t="str">
        <f aca="false">IF(C7&lt;&gt;"","TX-"&amp;TEXT(COUNTIF($C$2:C7,"&lt;&gt;"),"000000"),IF(OR(B7&lt;&gt;"",D7&lt;&gt;"",E7&lt;&gt;"",F7&lt;&gt;"",G7&lt;&gt;"",H7&lt;&gt;"",I7&lt;&gt;"",J7&lt;&gt;"",L7&lt;&gt;"",M7&lt;&gt;""),IF(COUNTIF($C$2:C7,"&lt;&gt;")=0,"",A6),""))</f>
        <v>TX-000005</v>
      </c>
      <c r="B7" s="3" t="n">
        <v>45843</v>
      </c>
      <c r="C7" s="4" t="s">
        <v>15</v>
      </c>
      <c r="D7" s="4" t="s">
        <v>17</v>
      </c>
      <c r="F7" s="4" t="s">
        <v>13</v>
      </c>
      <c r="I7" s="2" t="n">
        <v>1</v>
      </c>
      <c r="J7" s="2" t="n">
        <v>5000</v>
      </c>
      <c r="K7" s="2" t="n">
        <f aca="false">IF(OR(I7="",J7=""),"",I7*J7)</f>
        <v>5000</v>
      </c>
    </row>
    <row r="8" customFormat="false" ht="15" hidden="false" customHeight="false" outlineLevel="0" collapsed="false">
      <c r="A8" s="0" t="str">
        <f aca="false">IF(C8&lt;&gt;"","TX-"&amp;TEXT(COUNTIF($C$2:C8,"&lt;&gt;"),"000000"),IF(OR(B8&lt;&gt;"",D8&lt;&gt;"",E8&lt;&gt;"",F8&lt;&gt;"",G8&lt;&gt;"",H8&lt;&gt;"",I8&lt;&gt;"",J8&lt;&gt;"",L8&lt;&gt;"",M8&lt;&gt;""),IF(COUNTIF($C$2:C8,"&lt;&gt;")=0,"",A7),""))</f>
        <v>TX-000006</v>
      </c>
      <c r="B8" s="3" t="n">
        <v>45844</v>
      </c>
      <c r="C8" s="4" t="s">
        <v>15</v>
      </c>
      <c r="D8" s="4" t="s">
        <v>3</v>
      </c>
      <c r="F8" s="4" t="s">
        <v>13</v>
      </c>
      <c r="I8" s="2" t="n">
        <v>1</v>
      </c>
      <c r="J8" s="2" t="n">
        <v>5000</v>
      </c>
      <c r="K8" s="2" t="n">
        <f aca="false">IF(OR(I8="",J8=""),"",I8*J8)</f>
        <v>5000</v>
      </c>
      <c r="L8" s="2" t="n">
        <v>1000</v>
      </c>
    </row>
    <row r="9" customFormat="false" ht="15" hidden="false" customHeight="false" outlineLevel="0" collapsed="false">
      <c r="A9" s="0" t="str">
        <f aca="false">IF(C9&lt;&gt;"","TX-"&amp;TEXT(COUNTIF($C$2:C9,"&lt;&gt;"),"000000"),IF(OR(B9&lt;&gt;"",D9&lt;&gt;"",E9&lt;&gt;"",F9&lt;&gt;"",G9&lt;&gt;"",H9&lt;&gt;"",I9&lt;&gt;"",J9&lt;&gt;"",L9&lt;&gt;"",M9&lt;&gt;""),IF(COUNTIF($C$2:C9,"&lt;&gt;")=0,"",A8),""))</f>
        <v>TX-000007</v>
      </c>
      <c r="B9" s="3" t="n">
        <v>45845</v>
      </c>
      <c r="C9" s="4" t="s">
        <v>18</v>
      </c>
      <c r="D9" s="4" t="s">
        <v>3</v>
      </c>
      <c r="F9" s="4" t="s">
        <v>13</v>
      </c>
      <c r="I9" s="2" t="n">
        <v>1</v>
      </c>
      <c r="J9" s="2" t="n">
        <v>8000</v>
      </c>
      <c r="K9" s="2" t="n">
        <f aca="false">IF(OR(I9="",J9=""),"",I9*J9)</f>
        <v>8000</v>
      </c>
      <c r="L9" s="2" t="n">
        <v>1000</v>
      </c>
    </row>
    <row r="10" customFormat="false" ht="15" hidden="false" customHeight="false" outlineLevel="0" collapsed="false">
      <c r="A10" s="0" t="str">
        <f aca="false">IF(C10&lt;&gt;"","TX-"&amp;TEXT(COUNTIF($C$2:C10,"&lt;&gt;"),"000000"),IF(OR(B10&lt;&gt;"",D10&lt;&gt;"",E10&lt;&gt;"",F10&lt;&gt;"",G10&lt;&gt;"",H10&lt;&gt;"",I10&lt;&gt;"",J10&lt;&gt;"",L10&lt;&gt;"",M10&lt;&gt;""),IF(COUNTIF($C$2:C10,"&lt;&gt;")=0,"",A9),""))</f>
        <v>TX-000007</v>
      </c>
      <c r="F10" s="0" t="s">
        <v>19</v>
      </c>
      <c r="I10" s="2" t="n">
        <v>2</v>
      </c>
      <c r="J10" s="2" t="n">
        <v>1500</v>
      </c>
      <c r="K10" s="2" t="n">
        <f aca="false">IF(OR(I10="",J10=""),"",I10*J10)</f>
        <v>3000</v>
      </c>
      <c r="L10" s="2" t="n">
        <v>300</v>
      </c>
    </row>
    <row r="11" customFormat="false" ht="15" hidden="false" customHeight="false" outlineLevel="0" collapsed="false">
      <c r="A11" s="0" t="str">
        <f aca="false">IF(C11&lt;&gt;"","TX-"&amp;TEXT(COUNTIF($C$2:C11,"&lt;&gt;"),"000000"),IF(OR(B11&lt;&gt;"",D11&lt;&gt;"",E11&lt;&gt;"",F11&lt;&gt;"",G11&lt;&gt;"",H11&lt;&gt;"",I11&lt;&gt;"",J11&lt;&gt;"",L11&lt;&gt;"",M11&lt;&gt;""),IF(COUNTIF($C$2:C11,"&lt;&gt;")=0,"",A10),""))</f>
        <v>TX-000008</v>
      </c>
      <c r="B11" s="3" t="n">
        <v>45846</v>
      </c>
      <c r="C11" s="4" t="s">
        <v>18</v>
      </c>
      <c r="D11" s="4" t="s">
        <v>3</v>
      </c>
      <c r="F11" s="4" t="s">
        <v>13</v>
      </c>
      <c r="I11" s="2" t="n">
        <v>3</v>
      </c>
      <c r="K11" s="2" t="str">
        <f aca="false">IF(OR(I11="",J11=""),"",I11*J11)</f>
        <v/>
      </c>
    </row>
    <row r="12" customFormat="false" ht="15" hidden="false" customHeight="false" outlineLevel="0" collapsed="false">
      <c r="A12" s="0" t="str">
        <f aca="false">IF(C12&lt;&gt;"","TX-"&amp;TEXT(COUNTIF($C$2:C12,"&lt;&gt;"),"000000"),IF(OR(B12&lt;&gt;"",D12&lt;&gt;"",E12&lt;&gt;"",F12&lt;&gt;"",G12&lt;&gt;"",H12&lt;&gt;"",I12&lt;&gt;"",J12&lt;&gt;"",L12&lt;&gt;"",M12&lt;&gt;""),IF(COUNTIF($C$2:C12,"&lt;&gt;")=0,"",A11),""))</f>
        <v>TX-000009</v>
      </c>
      <c r="B12" s="3" t="n">
        <v>45847</v>
      </c>
      <c r="C12" s="4" t="s">
        <v>15</v>
      </c>
      <c r="D12" s="4" t="s">
        <v>3</v>
      </c>
      <c r="F12" s="4" t="s">
        <v>13</v>
      </c>
      <c r="I12" s="2" t="n">
        <v>2.5</v>
      </c>
      <c r="J12" s="2" t="n">
        <v>5000</v>
      </c>
      <c r="K12" s="2" t="n">
        <f aca="false">IF(OR(I12="",J12=""),"",I12*J12)</f>
        <v>12500</v>
      </c>
    </row>
    <row r="13" customFormat="false" ht="15" hidden="false" customHeight="false" outlineLevel="0" collapsed="false">
      <c r="A13" s="0" t="str">
        <f aca="false">IF(C13&lt;&gt;"","TX-"&amp;TEXT(COUNTIF($C$2:C13,"&lt;&gt;"),"000000"),IF(OR(B13&lt;&gt;"",D13&lt;&gt;"",E13&lt;&gt;"",F13&lt;&gt;"",G13&lt;&gt;"",H13&lt;&gt;"",I13&lt;&gt;"",J13&lt;&gt;"",L13&lt;&gt;"",M13&lt;&gt;""),IF(COUNTIF($C$2:C13,"&lt;&gt;")=0,"",A12),""))</f>
        <v>TX-000010</v>
      </c>
      <c r="B13" s="3" t="n">
        <v>45848</v>
      </c>
      <c r="C13" s="4" t="s">
        <v>15</v>
      </c>
      <c r="D13" s="4" t="s">
        <v>3</v>
      </c>
      <c r="F13" s="4" t="s">
        <v>13</v>
      </c>
      <c r="I13" s="2" t="n">
        <v>0</v>
      </c>
      <c r="J13" s="2" t="n">
        <v>5000</v>
      </c>
      <c r="K13" s="2" t="n">
        <f aca="false">IF(OR(I13="",J13=""),"",I13*J13)</f>
        <v>0</v>
      </c>
    </row>
    <row r="14" customFormat="false" ht="15" hidden="false" customHeight="false" outlineLevel="0" collapsed="false">
      <c r="A14" s="0" t="str">
        <f aca="false">IF(C14&lt;&gt;"","TX-"&amp;TEXT(COUNTIF($C$2:C14,"&lt;&gt;"),"000000"),IF(OR(B14&lt;&gt;"",D14&lt;&gt;"",E14&lt;&gt;"",F14&lt;&gt;"",G14&lt;&gt;"",H14&lt;&gt;"",I14&lt;&gt;"",J14&lt;&gt;"",L14&lt;&gt;"",M14&lt;&gt;""),IF(COUNTIF($C$2:C14,"&lt;&gt;")=0,"",A13),""))</f>
        <v>TX-000011</v>
      </c>
      <c r="B14" s="3" t="n">
        <v>45849</v>
      </c>
      <c r="C14" s="4" t="s">
        <v>15</v>
      </c>
      <c r="D14" s="4" t="s">
        <v>3</v>
      </c>
      <c r="F14" s="4" t="s">
        <v>13</v>
      </c>
      <c r="I14" s="2" t="n">
        <v>2</v>
      </c>
      <c r="J14" s="4" t="s">
        <v>20</v>
      </c>
      <c r="K14" s="2"/>
    </row>
    <row r="15" customFormat="false" ht="15" hidden="false" customHeight="false" outlineLevel="0" collapsed="false">
      <c r="A15" s="0" t="str">
        <f aca="false">IF(C15&lt;&gt;"","TX-"&amp;TEXT(COUNTIF($C$2:C15,"&lt;&gt;"),"000000"),IF(OR(B15&lt;&gt;"",D15&lt;&gt;"",E15&lt;&gt;"",F15&lt;&gt;"",G15&lt;&gt;"",H15&lt;&gt;"",I15&lt;&gt;"",J15&lt;&gt;"",L15&lt;&gt;"",M15&lt;&gt;""),IF(COUNTIF($C$2:C15,"&lt;&gt;")=0,"",A14),""))</f>
        <v>TX-000012</v>
      </c>
      <c r="B15" s="3" t="n">
        <v>45850</v>
      </c>
      <c r="C15" s="4" t="s">
        <v>15</v>
      </c>
      <c r="D15" s="4" t="s">
        <v>3</v>
      </c>
      <c r="F15" s="4" t="s">
        <v>13</v>
      </c>
      <c r="I15" s="2" t="n">
        <v>5</v>
      </c>
      <c r="J15" s="2" t="n">
        <v>1000</v>
      </c>
      <c r="K15" s="2" t="e">
        <f aca="false">1/0</f>
        <v>#DIV/0!</v>
      </c>
    </row>
    <row r="16" customFormat="false" ht="15" hidden="false" customHeight="false" outlineLevel="0" collapsed="false">
      <c r="A16" s="0" t="str">
        <f aca="false">IF(C16&lt;&gt;"","TX-"&amp;TEXT(COUNTIF($C$2:C16,"&lt;&gt;"),"000000"),IF(OR(B16&lt;&gt;"",D16&lt;&gt;"",E16&lt;&gt;"",F16&lt;&gt;"",G16&lt;&gt;"",H16&lt;&gt;"",I16&lt;&gt;"",J16&lt;&gt;"",L16&lt;&gt;"",M16&lt;&gt;""),IF(COUNTIF($C$2:C16,"&lt;&gt;")=0,"",A15),""))</f>
        <v>TX-000013</v>
      </c>
      <c r="B16" s="3" t="n">
        <v>45851</v>
      </c>
      <c r="C16" s="4" t="s">
        <v>21</v>
      </c>
      <c r="D16" s="4" t="s">
        <v>3</v>
      </c>
      <c r="H16" s="4" t="s">
        <v>22</v>
      </c>
      <c r="K16" s="2" t="n">
        <v>-3000</v>
      </c>
    </row>
    <row r="17" customFormat="false" ht="15" hidden="false" customHeight="false" outlineLevel="0" collapsed="false">
      <c r="A17" s="0" t="str">
        <f aca="false">IF(C17&lt;&gt;"","TX-"&amp;TEXT(COUNTIF($C$2:C17,"&lt;&gt;"),"000000"),IF(OR(B17&lt;&gt;"",D17&lt;&gt;"",E17&lt;&gt;"",F17&lt;&gt;"",G17&lt;&gt;"",H17&lt;&gt;"",I17&lt;&gt;"",J17&lt;&gt;"",L17&lt;&gt;"",M17&lt;&gt;""),IF(COUNTIF($C$2:C17,"&lt;&gt;")=0,"",A16),""))</f>
        <v>TX-000014</v>
      </c>
      <c r="B17" s="3" t="n">
        <v>45852</v>
      </c>
      <c r="C17" s="4" t="s">
        <v>15</v>
      </c>
      <c r="D17" s="4" t="s">
        <v>3</v>
      </c>
      <c r="F17" s="4" t="s">
        <v>13</v>
      </c>
      <c r="I17" s="2" t="n">
        <v>1</v>
      </c>
      <c r="J17" s="2" t="n">
        <v>5000</v>
      </c>
      <c r="K17" s="2" t="n">
        <f aca="false">IF(OR(I17="",J17=""),"",I17*J17)</f>
        <v>5000</v>
      </c>
    </row>
    <row r="18" customFormat="false" ht="15" hidden="false" customHeight="false" outlineLevel="0" collapsed="false">
      <c r="A18" s="0" t="str">
        <f aca="false">IF(C18&lt;&gt;"","TX-"&amp;TEXT(COUNTIF($C$2:C18,"&lt;&gt;"),"000000"),IF(OR(B18&lt;&gt;"",D18&lt;&gt;"",E18&lt;&gt;"",F18&lt;&gt;"",G18&lt;&gt;"",H18&lt;&gt;"",I18&lt;&gt;"",J18&lt;&gt;"",L18&lt;&gt;"",M18&lt;&gt;""),IF(COUNTIF($C$2:C18,"&lt;&gt;")=0,"",A17),""))</f>
        <v>TX-000014</v>
      </c>
      <c r="B18" s="3" t="n">
        <v>45853</v>
      </c>
      <c r="F18" s="4" t="s">
        <v>19</v>
      </c>
      <c r="I18" s="2" t="n">
        <v>2</v>
      </c>
      <c r="J18" s="2" t="n">
        <v>1000</v>
      </c>
      <c r="K18" s="2" t="n">
        <f aca="false">IF(OR(I18="",J18=""),"",I18*J18)</f>
        <v>2000</v>
      </c>
    </row>
    <row r="19" customFormat="false" ht="15" hidden="false" customHeight="false" outlineLevel="0" collapsed="false">
      <c r="A19" s="0" t="str">
        <f aca="false">IF(C19&lt;&gt;"","TX-"&amp;TEXT(COUNTIF($C$2:C19,"&lt;&gt;"),"000000"),IF(OR(B19&lt;&gt;"",D19&lt;&gt;"",E19&lt;&gt;"",F19&lt;&gt;"",G19&lt;&gt;"",H19&lt;&gt;"",I19&lt;&gt;"",J19&lt;&gt;"",L19&lt;&gt;"",M19&lt;&gt;""),IF(COUNTIF($C$2:C19,"&lt;&gt;")=0,"",A18),""))</f>
        <v>TX-000015</v>
      </c>
      <c r="B19" s="3" t="n">
        <v>45854</v>
      </c>
      <c r="C19" s="4" t="s">
        <v>15</v>
      </c>
      <c r="D19" s="4" t="s">
        <v>3</v>
      </c>
      <c r="E19" s="4" t="s">
        <v>23</v>
      </c>
      <c r="F19" s="4" t="s">
        <v>13</v>
      </c>
      <c r="I19" s="2" t="n">
        <v>1</v>
      </c>
      <c r="J19" s="2" t="n">
        <v>5000</v>
      </c>
      <c r="K19" s="2" t="n">
        <f aca="false">IF(OR(I19="",J19=""),"",I19*J19)</f>
        <v>5000</v>
      </c>
    </row>
    <row r="20" customFormat="false" ht="15" hidden="false" customHeight="false" outlineLevel="0" collapsed="false">
      <c r="A20" s="0" t="str">
        <f aca="false">IF(C20&lt;&gt;"","TX-"&amp;TEXT(COUNTIF($C$2:C20,"&lt;&gt;"),"000000"),IF(OR(B20&lt;&gt;"",D20&lt;&gt;"",E20&lt;&gt;"",F20&lt;&gt;"",G20&lt;&gt;"",H20&lt;&gt;"",I20&lt;&gt;"",J20&lt;&gt;"",L20&lt;&gt;"",M20&lt;&gt;""),IF(COUNTIF($C$2:C20,"&lt;&gt;")=0,"",A19),""))</f>
        <v>TX-000015</v>
      </c>
      <c r="E20" s="0" t="s">
        <v>24</v>
      </c>
      <c r="F20" s="0" t="s">
        <v>19</v>
      </c>
      <c r="I20" s="2" t="n">
        <v>2</v>
      </c>
      <c r="J20" s="2" t="n">
        <v>1000</v>
      </c>
      <c r="K20" s="2" t="n">
        <f aca="false">IF(OR(I20="",J20=""),"",I20*J20)</f>
        <v>2000</v>
      </c>
    </row>
    <row r="21" customFormat="false" ht="15" hidden="false" customHeight="false" outlineLevel="0" collapsed="false">
      <c r="A21" s="0" t="str">
        <f aca="false">IF(C21&lt;&gt;"","TX-"&amp;TEXT(COUNTIF($C$2:C21,"&lt;&gt;"),"000000"),IF(OR(B21&lt;&gt;"",D21&lt;&gt;"",E21&lt;&gt;"",F21&lt;&gt;"",G21&lt;&gt;"",H21&lt;&gt;"",I21&lt;&gt;"",J21&lt;&gt;"",L21&lt;&gt;"",M21&lt;&gt;""),IF(COUNTIF($C$2:C21,"&lt;&gt;")=0,"",A20),""))</f>
        <v>TX-000016</v>
      </c>
      <c r="B21" s="3" t="n">
        <v>45855</v>
      </c>
      <c r="C21" s="4" t="s">
        <v>15</v>
      </c>
      <c r="D21" s="4" t="s">
        <v>3</v>
      </c>
      <c r="F21" s="4" t="s">
        <v>13</v>
      </c>
      <c r="I21" s="2" t="n">
        <v>1</v>
      </c>
      <c r="J21" s="2" t="n">
        <v>5000</v>
      </c>
      <c r="K21" s="2" t="n">
        <f aca="false">IF(OR(I21="",J21=""),"",I21*J21)</f>
        <v>5000</v>
      </c>
    </row>
    <row r="22" customFormat="false" ht="15" hidden="false" customHeight="false" outlineLevel="0" collapsed="false">
      <c r="A22" s="0" t="str">
        <f aca="false">IF(C22&lt;&gt;"","TX-"&amp;TEXT(COUNTIF($C$2:C22,"&lt;&gt;"),"000000"),IF(OR(B22&lt;&gt;"",D22&lt;&gt;"",E22&lt;&gt;"",F22&lt;&gt;"",G22&lt;&gt;"",H22&lt;&gt;"",I22&lt;&gt;"",J22&lt;&gt;"",L22&lt;&gt;"",M22&lt;&gt;""),IF(COUNTIF($C$2:C22,"&lt;&gt;")=0,"",A21),""))</f>
        <v>TX-000016</v>
      </c>
      <c r="D22" s="0" t="s">
        <v>25</v>
      </c>
      <c r="F22" s="0" t="s">
        <v>19</v>
      </c>
      <c r="I22" s="2" t="n">
        <v>2</v>
      </c>
      <c r="J22" s="2" t="n">
        <v>1000</v>
      </c>
      <c r="K22" s="2" t="n">
        <f aca="false">IF(OR(I22="",J22=""),"",I22*J22)</f>
        <v>2000</v>
      </c>
    </row>
    <row r="23" customFormat="false" ht="15" hidden="false" customHeight="false" outlineLevel="0" collapsed="false">
      <c r="A23" s="0" t="str">
        <f aca="false">IF(C23&lt;&gt;"","TX-"&amp;TEXT(COUNTIF($C$2:C23,"&lt;&gt;"),"000000"),IF(OR(B23&lt;&gt;"",D23&lt;&gt;"",E23&lt;&gt;"",F23&lt;&gt;"",G23&lt;&gt;"",H23&lt;&gt;"",I23&lt;&gt;"",J23&lt;&gt;"",L23&lt;&gt;"",M23&lt;&gt;""),IF(COUNTIF($C$2:C23,"&lt;&gt;")=0,"",A22),""))</f>
        <v>TX-000017</v>
      </c>
      <c r="B23" s="3" t="n">
        <v>46096</v>
      </c>
      <c r="C23" s="4" t="s">
        <v>15</v>
      </c>
      <c r="D23" s="4" t="s">
        <v>3</v>
      </c>
      <c r="F23" s="4" t="s">
        <v>13</v>
      </c>
      <c r="I23" s="2" t="n">
        <v>1</v>
      </c>
      <c r="J23" s="2" t="n">
        <v>5000</v>
      </c>
      <c r="K23" s="2" t="n">
        <f aca="false">IF(OR(I23="",J23=""),"",I23*J23)</f>
        <v>5000</v>
      </c>
    </row>
    <row r="24" customFormat="false" ht="15" hidden="false" customHeight="false" outlineLevel="0" collapsed="false">
      <c r="A24" s="0" t="str">
        <f aca="false">IF(C24&lt;&gt;"","TX-"&amp;TEXT(COUNTIF($C$2:C24,"&lt;&gt;"),"000000"),IF(OR(B24&lt;&gt;"",D24&lt;&gt;"",E24&lt;&gt;"",F24&lt;&gt;"",G24&lt;&gt;"",H24&lt;&gt;"",I24&lt;&gt;"",J24&lt;&gt;"",L24&lt;&gt;"",M24&lt;&gt;""),IF(COUNTIF($C$2:C24,"&lt;&gt;")=0,"",A23),""))</f>
        <v>TX-000018</v>
      </c>
      <c r="B24" s="3" t="n">
        <v>47484</v>
      </c>
      <c r="C24" s="4" t="s">
        <v>15</v>
      </c>
      <c r="D24" s="4" t="s">
        <v>3</v>
      </c>
      <c r="F24" s="4" t="s">
        <v>13</v>
      </c>
      <c r="I24" s="2" t="n">
        <v>1</v>
      </c>
      <c r="J24" s="2" t="n">
        <v>5000</v>
      </c>
      <c r="K24" s="2" t="n">
        <f aca="false">IF(OR(I24="",J24=""),"",I24*J24)</f>
        <v>5000</v>
      </c>
    </row>
    <row r="25" customFormat="false" ht="15" hidden="false" customHeight="false" outlineLevel="0" collapsed="false">
      <c r="A25" s="0" t="str">
        <f aca="false">IF(C25&lt;&gt;"","TX-"&amp;TEXT(COUNTIF($C$2:C25,"&lt;&gt;"),"000000"),IF(OR(B25&lt;&gt;"",D25&lt;&gt;"",E25&lt;&gt;"",F25&lt;&gt;"",G25&lt;&gt;"",H25&lt;&gt;"",I25&lt;&gt;"",J25&lt;&gt;"",L25&lt;&gt;"",M25&lt;&gt;""),IF(COUNTIF($C$2:C25,"&lt;&gt;")=0,"",A24),""))</f>
        <v>TX-000019</v>
      </c>
      <c r="C25" s="0" t="s">
        <v>21</v>
      </c>
      <c r="K25" s="2" t="n">
        <v>0</v>
      </c>
      <c r="M25" s="0" t="n">
        <v>16</v>
      </c>
    </row>
    <row r="26" customFormat="false" ht="15" hidden="false" customHeight="false" outlineLevel="0" collapsed="false">
      <c r="A26" s="0" t="str">
        <f aca="false">IF(C26&lt;&gt;"","TX-"&amp;TEXT(COUNTIF($C$2:C26,"&lt;&gt;"),"000000"),IF(OR(B26&lt;&gt;"",D26&lt;&gt;"",E26&lt;&gt;"",F26&lt;&gt;"",G26&lt;&gt;"",H26&lt;&gt;"",I26&lt;&gt;"",J26&lt;&gt;"",L26&lt;&gt;"",M26&lt;&gt;""),IF(COUNTIF($C$2:C26,"&lt;&gt;")=0,"",A25),""))</f>
        <v>TX-000020</v>
      </c>
      <c r="B26" s="3" t="n">
        <v>45856</v>
      </c>
      <c r="C26" s="4" t="s">
        <v>18</v>
      </c>
      <c r="D26" s="4" t="s">
        <v>3</v>
      </c>
      <c r="F26" s="4" t="s">
        <v>13</v>
      </c>
      <c r="K26" s="2" t="str">
        <f aca="false">IF(OR(I26="",J26=""),"",I26*J26)</f>
        <v/>
      </c>
    </row>
    <row r="27" customFormat="false" ht="15" hidden="false" customHeight="false" outlineLevel="0" collapsed="false">
      <c r="A27" s="0" t="str">
        <f aca="false">IF(C27&lt;&gt;"","TX-"&amp;TEXT(COUNTIF($C$2:C27,"&lt;&gt;"),"000000"),IF(OR(B27&lt;&gt;"",D27&lt;&gt;"",E27&lt;&gt;"",F27&lt;&gt;"",G27&lt;&gt;"",H27&lt;&gt;"",I27&lt;&gt;"",J27&lt;&gt;"",L27&lt;&gt;"",M27&lt;&gt;""),IF(COUNTIF($C$2:C27,"&lt;&gt;")=0,"",A26),""))</f>
        <v>TX-000021</v>
      </c>
      <c r="B27" s="3" t="n">
        <v>45857</v>
      </c>
      <c r="C27" s="4" t="s">
        <v>15</v>
      </c>
      <c r="D27" s="4" t="s">
        <v>3</v>
      </c>
      <c r="F27" s="4" t="s">
        <v>13</v>
      </c>
      <c r="I27" s="2" t="n">
        <v>-3</v>
      </c>
      <c r="J27" s="2" t="n">
        <v>5000</v>
      </c>
      <c r="K27" s="2" t="n">
        <f aca="false">IF(OR(I27="",J27=""),"",I27*J27)</f>
        <v>-15000</v>
      </c>
    </row>
    <row r="28" customFormat="false" ht="15" hidden="false" customHeight="false" outlineLevel="0" collapsed="false">
      <c r="A28" s="0" t="str">
        <f aca="false">IF(C28&lt;&gt;"","TX-"&amp;TEXT(COUNTIF($C$2:C28,"&lt;&gt;"),"000000"),IF(OR(B28&lt;&gt;"",D28&lt;&gt;"",E28&lt;&gt;"",F28&lt;&gt;"",G28&lt;&gt;"",H28&lt;&gt;"",I28&lt;&gt;"",J28&lt;&gt;"",L28&lt;&gt;"",M28&lt;&gt;""),IF(COUNTIF($C$2:C28,"&lt;&gt;")=0,"",A27),""))</f>
        <v>TX-000022</v>
      </c>
      <c r="B28" s="3" t="n">
        <v>45858</v>
      </c>
      <c r="C28" s="4" t="s">
        <v>18</v>
      </c>
      <c r="D28" s="4" t="s">
        <v>3</v>
      </c>
      <c r="F28" s="4" t="s">
        <v>13</v>
      </c>
      <c r="I28" s="2" t="n">
        <v>1</v>
      </c>
      <c r="J28" s="2" t="n">
        <v>8000</v>
      </c>
      <c r="K28" s="2" t="n">
        <f aca="false">IF(OR(I28="",J28=""),"",I28*J28)</f>
        <v>8000</v>
      </c>
      <c r="L28" s="4" t="s">
        <v>26</v>
      </c>
    </row>
    <row r="29" customFormat="false" ht="15" hidden="false" customHeight="false" outlineLevel="0" collapsed="false">
      <c r="A29" s="0" t="str">
        <f aca="false">IF(C29&lt;&gt;"","TX-"&amp;TEXT(COUNTIF($C$2:C29,"&lt;&gt;"),"000000"),IF(OR(B29&lt;&gt;"",D29&lt;&gt;"",E29&lt;&gt;"",F29&lt;&gt;"",G29&lt;&gt;"",H29&lt;&gt;"",I29&lt;&gt;"",J29&lt;&gt;"",L29&lt;&gt;"",M29&lt;&gt;""),IF(COUNTIF($C$2:C29,"&lt;&gt;")=0,"",A28),""))</f>
        <v>TX-000023</v>
      </c>
      <c r="B29" s="3" t="n">
        <v>45859</v>
      </c>
      <c r="C29" s="4" t="s">
        <v>18</v>
      </c>
      <c r="D29" s="4" t="s">
        <v>3</v>
      </c>
      <c r="E29" s="4" t="s">
        <v>27</v>
      </c>
      <c r="F29" s="4" t="s">
        <v>13</v>
      </c>
      <c r="I29" s="2" t="n">
        <v>2</v>
      </c>
      <c r="J29" s="2" t="n">
        <v>8000</v>
      </c>
      <c r="K29" s="2" t="n">
        <f aca="false">IF(OR(I29="",J29=""),"",I29*J29)</f>
        <v>16000</v>
      </c>
      <c r="L29" s="2" t="n">
        <v>2000</v>
      </c>
    </row>
    <row r="30" customFormat="false" ht="15" hidden="false" customHeight="false" outlineLevel="0" collapsed="false">
      <c r="K30" s="0" t="n">
        <f aca="false">I30*J30</f>
        <v>0</v>
      </c>
    </row>
    <row r="31" customFormat="false" ht="15" hidden="false" customHeight="false" outlineLevel="0" collapsed="false">
      <c r="K31" s="0" t="n">
        <f aca="false">I31*J31</f>
        <v>0</v>
      </c>
    </row>
    <row r="32" customFormat="false" ht="15" hidden="false" customHeight="false" outlineLevel="0" collapsed="false">
      <c r="K32" s="0" t="n">
        <f aca="false">I32*J32</f>
        <v>0</v>
      </c>
    </row>
    <row r="33" customFormat="false" ht="15" hidden="false" customHeight="false" outlineLevel="0" collapsed="false">
      <c r="K33" s="0" t="n">
        <f aca="false">I33*J33</f>
        <v>0</v>
      </c>
    </row>
    <row r="34" customFormat="false" ht="15" hidden="false" customHeight="false" outlineLevel="0" collapsed="false">
      <c r="K34" s="0" t="n">
        <f aca="false">I34*J34</f>
        <v>0</v>
      </c>
    </row>
    <row r="35" customFormat="false" ht="15" hidden="false" customHeight="false" outlineLevel="0" collapsed="false">
      <c r="K35" s="0" t="n">
        <f aca="false">I35*J35</f>
        <v>0</v>
      </c>
    </row>
    <row r="36" customFormat="false" ht="15" hidden="false" customHeight="false" outlineLevel="0" collapsed="false">
      <c r="K36" s="0" t="n">
        <f aca="false">I36*J36</f>
        <v>0</v>
      </c>
    </row>
    <row r="37" customFormat="false" ht="15" hidden="false" customHeight="false" outlineLevel="0" collapsed="false">
      <c r="K37" s="0" t="n">
        <f aca="false">I37*J37</f>
        <v>0</v>
      </c>
    </row>
    <row r="38" customFormat="false" ht="15" hidden="false" customHeight="false" outlineLevel="0" collapsed="false">
      <c r="K38" s="0" t="n">
        <f aca="false">I38*J38</f>
        <v>0</v>
      </c>
    </row>
    <row r="39" customFormat="false" ht="15" hidden="false" customHeight="false" outlineLevel="0" collapsed="false">
      <c r="K39" s="0" t="n">
        <f aca="false">I39*J39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2026-09-27T19:05:38Z</dcterms:created>
  <dc:creator>openpyxl</dc:creator>
  <dc:description/>
  <dc:language>en-US</dc:language>
  <cp:lastModifiedBy/>
  <dcterms:modified xsi:type="dcterms:W3CDTF">2026-09-27T19:05:39Z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