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uide" sheetId="1" state="visible" r:id="rId3"/>
    <sheet name="Transa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<sst xmlns="http://schemas.openxmlformats.org/spreadsheetml/2006/main" count="141" uniqueCount="55">
  <si>
    <t xml:space="preserve">This sheet is notes for the employee. The importer must ignore it.</t>
  </si>
  <si>
    <t xml:space="preserve">Type filled = new transaction.</t>
  </si>
  <si>
    <t xml:space="preserve">Txn No. (Auto)</t>
  </si>
  <si>
    <t xml:space="preserve">Date</t>
  </si>
  <si>
    <t xml:space="preserve">Type</t>
  </si>
  <si>
    <t xml:space="preserve">Paid</t>
  </si>
  <si>
    <t xml:space="preserve">Party / Company (Optional)</t>
  </si>
  <si>
    <t xml:space="preserve">Product Name (Optional)</t>
  </si>
  <si>
    <t xml:space="preserve">Brand (Optional)</t>
  </si>
  <si>
    <t xml:space="preserve">Custom Details (Optional)</t>
  </si>
  <si>
    <t xml:space="preserve">Quantity</t>
  </si>
  <si>
    <t xml:space="preserve">Unit Price</t>
  </si>
  <si>
    <t xml:space="preserve">Line Total</t>
  </si>
  <si>
    <t xml:space="preserve">Benefit (Sell Only)</t>
  </si>
  <si>
    <t xml:space="preserve">Page No.
(Optional)</t>
  </si>
  <si>
    <t xml:space="preserve">Buy</t>
  </si>
  <si>
    <t xml:space="preserve">Supplier Alpha</t>
  </si>
  <si>
    <t xml:space="preserve">couette</t>
  </si>
  <si>
    <t xml:space="preserve">Alpha</t>
  </si>
  <si>
    <t xml:space="preserve">bossoft</t>
  </si>
  <si>
    <t xml:space="preserve">pillow</t>
  </si>
  <si>
    <t xml:space="preserve">colored</t>
  </si>
  <si>
    <t xml:space="preserve">pic</t>
  </si>
  <si>
    <t xml:space="preserve">18/05/2025</t>
  </si>
  <si>
    <t xml:space="preserve">coton satin</t>
  </si>
  <si>
    <t xml:space="preserve">10</t>
  </si>
  <si>
    <t xml:space="preserve">11 500</t>
  </si>
  <si>
    <t xml:space="preserve">115 000</t>
  </si>
  <si>
    <t xml:space="preserve">blanc</t>
  </si>
  <si>
    <t xml:space="preserve">1 050</t>
  </si>
  <si>
    <t xml:space="preserve">50 400</t>
  </si>
  <si>
    <t xml:space="preserve">1p</t>
  </si>
  <si>
    <t xml:space="preserve">pillow </t>
  </si>
  <si>
    <t xml:space="preserve">ALPHA</t>
  </si>
  <si>
    <t xml:space="preserve">pillow cover</t>
  </si>
  <si>
    <t xml:space="preserve">pillow couver</t>
  </si>
  <si>
    <t xml:space="preserve">drap</t>
  </si>
  <si>
    <t xml:space="preserve">istanbul 2p</t>
  </si>
  <si>
    <t xml:space="preserve">iatanbul 2p</t>
  </si>
  <si>
    <t xml:space="preserve">bouti</t>
  </si>
  <si>
    <t xml:space="preserve">Rozana</t>
  </si>
  <si>
    <t xml:space="preserve">Sell</t>
  </si>
  <si>
    <t xml:space="preserve">Client Amel</t>
  </si>
  <si>
    <t xml:space="preserve">not  paid</t>
  </si>
  <si>
    <t xml:space="preserve">Client B</t>
  </si>
  <si>
    <t xml:space="preserve">2p</t>
  </si>
  <si>
    <t xml:space="preserve">1,6</t>
  </si>
  <si>
    <t xml:space="preserve">sell </t>
  </si>
  <si>
    <t xml:space="preserve">client amel</t>
  </si>
  <si>
    <t xml:space="preserve">Expense</t>
  </si>
  <si>
    <t xml:space="preserve">Transport</t>
  </si>
  <si>
    <t xml:space="preserve">Packaging</t>
  </si>
  <si>
    <t xml:space="preserve">Not Paid</t>
  </si>
  <si>
    <t xml:space="preserve">Electricity Provider</t>
  </si>
  <si>
    <t xml:space="preserve">Electricity bill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</si>
</sst>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8.35" hidden="false" customHeight="false" outlineLevel="0" collapsed="false">
      <c r="A1" s="0" t="s">
        <v>2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1" t="s">
        <v>14</v>
      </c>
    </row>
    <row r="3" customFormat="false" ht="15" hidden="false" customHeight="false" outlineLevel="0" collapsed="false">
      <c r="A3" s="0" t="str">
        <f aca="false">IF(C3&lt;&gt;"","TX-"&amp;TEXT(COUNTIF($C$2:C3,"&lt;&gt;"),"000000"),IF(OR(B3&lt;&gt;"",D3&lt;&gt;"",E3&lt;&gt;"",F3&lt;&gt;"",G3&lt;&gt;"",H3&lt;&gt;"",I3&lt;&gt;"",J3&lt;&gt;"",L3&lt;&gt;"",M3&lt;&gt;""),IF(COUNTIF($C$2:C3,"&lt;&gt;")=0,"",A2),""))</f>
        <v>TX-000001</v>
      </c>
      <c r="B3" s="2" t="n">
        <v>45790</v>
      </c>
      <c r="C3" s="3" t="s">
        <v>15</v>
      </c>
      <c r="D3" s="3" t="s">
        <v>5</v>
      </c>
      <c r="E3" s="3" t="s">
        <v>16</v>
      </c>
      <c r="F3" s="3" t="s">
        <v>17</v>
      </c>
      <c r="G3" s="3" t="s">
        <v>18</v>
      </c>
      <c r="H3" s="3" t="s">
        <v>19</v>
      </c>
      <c r="I3" s="4" t="n">
        <v>12</v>
      </c>
      <c r="J3" s="4" t="n">
        <v>9200</v>
      </c>
      <c r="K3" s="4" t="n">
        <f aca="false">IF(OR(I3="",J3=""),"",I3*J3)</f>
        <v>110400</v>
      </c>
      <c r="M3" s="0" t="n">
        <v>1</v>
      </c>
    </row>
    <row r="4" customFormat="false" ht="15" hidden="false" customHeight="false" outlineLevel="0" collapsed="false">
      <c r="A4" s="0" t="str">
        <f aca="false">IF(C4&lt;&gt;"","TX-"&amp;TEXT(COUNTIF($C$2:C4,"&lt;&gt;"),"000000"),IF(OR(B4&lt;&gt;"",D4&lt;&gt;"",E4&lt;&gt;"",F4&lt;&gt;"",G4&lt;&gt;"",H4&lt;&gt;"",I4&lt;&gt;"",J4&lt;&gt;"",L4&lt;&gt;"",M4&lt;&gt;""),IF(COUNTIF($C$2:C4,"&lt;&gt;")=0,"",A3),""))</f>
        <v>TX-000001</v>
      </c>
      <c r="E4" s="0" t="s">
        <v>16</v>
      </c>
      <c r="F4" s="0" t="s">
        <v>20</v>
      </c>
      <c r="G4" s="0" t="s">
        <v>18</v>
      </c>
      <c r="H4" s="0" t="s">
        <v>21</v>
      </c>
      <c r="I4" s="4" t="n">
        <v>24</v>
      </c>
      <c r="J4" s="4" t="n">
        <v>1050</v>
      </c>
      <c r="K4" s="4" t="n">
        <f aca="false">IF(OR(I4="",J4=""),"",I4*J4)</f>
        <v>25200</v>
      </c>
    </row>
    <row r="5" customFormat="false" ht="15" hidden="false" customHeight="false" outlineLevel="0" collapsed="false">
      <c r="A5" s="0" t="str">
        <f aca="false">IF(C5&lt;&gt;"","TX-"&amp;TEXT(COUNTIF($C$2:C5,"&lt;&gt;"),"000000"),IF(OR(B5&lt;&gt;"",D5&lt;&gt;"",E5&lt;&gt;"",F5&lt;&gt;"",G5&lt;&gt;"",H5&lt;&gt;"",I5&lt;&gt;"",J5&lt;&gt;"",L5&lt;&gt;"",M5&lt;&gt;""),IF(COUNTIF($C$2:C5,"&lt;&gt;")=0,"",A4),""))</f>
        <v>TX-000001</v>
      </c>
      <c r="E5" s="0" t="s">
        <v>16</v>
      </c>
      <c r="F5" s="0" t="s">
        <v>22</v>
      </c>
      <c r="G5" s="0" t="s">
        <v>18</v>
      </c>
      <c r="I5" s="4" t="n">
        <v>15</v>
      </c>
      <c r="J5" s="4" t="n">
        <v>6300</v>
      </c>
      <c r="K5" s="4" t="n">
        <f aca="false">IF(OR(I5="",J5=""),"",I5*J5)</f>
        <v>94500</v>
      </c>
    </row>
    <row r="6" customFormat="false" ht="15" hidden="false" customHeight="false" outlineLevel="0" collapsed="false">
      <c r="A6" s="0" t="str">
        <f aca="false">IF(C6&lt;&gt;"","TX-"&amp;TEXT(COUNTIF($C$2:C6,"&lt;&gt;"),"000000"),IF(OR(B6&lt;&gt;"",D6&lt;&gt;"",E6&lt;&gt;"",F6&lt;&gt;"",G6&lt;&gt;"",H6&lt;&gt;"",I6&lt;&gt;"",J6&lt;&gt;"",L6&lt;&gt;"",M6&lt;&gt;""),IF(COUNTIF($C$2:C6,"&lt;&gt;")=0,"",A5),""))</f>
        <v>TX-000002</v>
      </c>
      <c r="B6" s="0" t="s">
        <v>23</v>
      </c>
      <c r="C6" s="0" t="s">
        <v>15</v>
      </c>
      <c r="D6" s="0" t="s">
        <v>5</v>
      </c>
      <c r="E6" s="0" t="s">
        <v>16</v>
      </c>
      <c r="F6" s="0" t="s">
        <v>17</v>
      </c>
      <c r="G6" s="0" t="s">
        <v>18</v>
      </c>
      <c r="H6" s="0" t="s">
        <v>24</v>
      </c>
      <c r="I6" s="0" t="s">
        <v>25</v>
      </c>
      <c r="J6" s="0" t="s">
        <v>26</v>
      </c>
      <c r="K6" s="4" t="s">
        <v>27</v>
      </c>
    </row>
    <row r="7" customFormat="false" ht="15" hidden="false" customHeight="false" outlineLevel="0" collapsed="false">
      <c r="A7" s="0" t="str">
        <f aca="false">IF(C7&lt;&gt;"","TX-"&amp;TEXT(COUNTIF($C$2:C7,"&lt;&gt;"),"000000"),IF(OR(B7&lt;&gt;"",D7&lt;&gt;"",E7&lt;&gt;"",F7&lt;&gt;"",G7&lt;&gt;"",H7&lt;&gt;"",I7&lt;&gt;"",J7&lt;&gt;"",L7&lt;&gt;"",M7&lt;&gt;""),IF(COUNTIF($C$2:C7,"&lt;&gt;")=0,"",A6),""))</f>
        <v>TX-000002</v>
      </c>
      <c r="E7" s="0" t="s">
        <v>16</v>
      </c>
      <c r="F7" s="0" t="s">
        <v>20</v>
      </c>
      <c r="G7" s="0" t="s">
        <v>18</v>
      </c>
      <c r="H7" s="0" t="s">
        <v>28</v>
      </c>
      <c r="I7" s="4" t="n">
        <v>48</v>
      </c>
      <c r="J7" s="3" t="s">
        <v>29</v>
      </c>
      <c r="K7" s="4" t="s">
        <v>30</v>
      </c>
    </row>
    <row r="8" customFormat="false" ht="15" hidden="false" customHeight="false" outlineLevel="0" collapsed="false">
      <c r="A8" s="0" t="str">
        <f aca="false">IF(C8&lt;&gt;"","TX-"&amp;TEXT(COUNTIF($C$2:C8,"&lt;&gt;"),"000000"),IF(OR(B8&lt;&gt;"",D8&lt;&gt;"",E8&lt;&gt;"",F8&lt;&gt;"",G8&lt;&gt;"",H8&lt;&gt;"",I8&lt;&gt;"",J8&lt;&gt;"",L8&lt;&gt;"",M8&lt;&gt;""),IF(COUNTIF($C$2:C8,"&lt;&gt;")=0,"",A7),""))</f>
        <v>TX-000003</v>
      </c>
      <c r="B8" s="2" t="n">
        <v>45797</v>
      </c>
      <c r="C8" s="3" t="s">
        <v>15</v>
      </c>
      <c r="D8" s="3" t="s">
        <v>5</v>
      </c>
      <c r="F8" s="3" t="s">
        <v>17</v>
      </c>
      <c r="G8" s="3" t="s">
        <v>18</v>
      </c>
      <c r="H8" s="3" t="s">
        <v>31</v>
      </c>
      <c r="I8" s="4" t="n">
        <v>30</v>
      </c>
      <c r="J8" s="4" t="n">
        <v>5500</v>
      </c>
      <c r="K8" s="4" t="n">
        <f aca="false">IF(OR(I8="",J8=""),"",I8*J8)</f>
        <v>165000</v>
      </c>
    </row>
    <row r="9" customFormat="false" ht="15" hidden="false" customHeight="false" outlineLevel="0" collapsed="false">
      <c r="A9" s="0" t="str">
        <f aca="false">IF(C9&lt;&gt;"","TX-"&amp;TEXT(COUNTIF($C$2:C9,"&lt;&gt;"),"000000"),IF(OR(B9&lt;&gt;"",D9&lt;&gt;"",E9&lt;&gt;"",F9&lt;&gt;"",G9&lt;&gt;"",H9&lt;&gt;"",I9&lt;&gt;"",J9&lt;&gt;"",L9&lt;&gt;"",M9&lt;&gt;""),IF(COUNTIF($C$2:C9,"&lt;&gt;")=0,"",A8),""))</f>
        <v>TX-000004</v>
      </c>
      <c r="B9" s="2" t="n">
        <v>45804</v>
      </c>
      <c r="C9" s="3" t="s">
        <v>15</v>
      </c>
      <c r="D9" s="3" t="s">
        <v>5</v>
      </c>
      <c r="F9" s="3" t="s">
        <v>17</v>
      </c>
      <c r="G9" s="3" t="s">
        <v>18</v>
      </c>
      <c r="H9" s="3" t="s">
        <v>31</v>
      </c>
      <c r="I9" s="4" t="n">
        <v>20</v>
      </c>
      <c r="J9" s="4" t="n">
        <v>5500</v>
      </c>
      <c r="K9" s="4" t="n">
        <f aca="false">IF(OR(I9="",J9=""),"",I9*J9)</f>
        <v>110000</v>
      </c>
    </row>
    <row r="10" customFormat="false" ht="15" hidden="false" customHeight="false" outlineLevel="0" collapsed="false">
      <c r="A10" s="0" t="str">
        <f aca="false">IF(C10&lt;&gt;"","TX-"&amp;TEXT(COUNTIF($C$2:C10,"&lt;&gt;"),"000000"),IF(OR(B10&lt;&gt;"",D10&lt;&gt;"",E10&lt;&gt;"",F10&lt;&gt;"",G10&lt;&gt;"",H10&lt;&gt;"",I10&lt;&gt;"",J10&lt;&gt;"",L10&lt;&gt;"",M10&lt;&gt;""),IF(COUNTIF($C$2:C10,"&lt;&gt;")=0,"",A9),""))</f>
        <v>TX-000004</v>
      </c>
      <c r="F10" s="0" t="s">
        <v>32</v>
      </c>
      <c r="G10" s="0" t="s">
        <v>33</v>
      </c>
      <c r="H10" s="0" t="s">
        <v>28</v>
      </c>
      <c r="I10" s="4" t="n">
        <v>24</v>
      </c>
      <c r="J10" s="4" t="n">
        <v>1050</v>
      </c>
      <c r="K10" s="4" t="n">
        <f aca="false">IF(OR(I10="",J10=""),"",I10*J10)</f>
        <v>25200</v>
      </c>
    </row>
    <row r="11" customFormat="false" ht="15" hidden="false" customHeight="false" outlineLevel="0" collapsed="false">
      <c r="A11" s="0" t="str">
        <f aca="false">IF(C11&lt;&gt;"","TX-"&amp;TEXT(COUNTIF($C$2:C11,"&lt;&gt;"),"000000"),IF(OR(B11&lt;&gt;"",D11&lt;&gt;"",E11&lt;&gt;"",F11&lt;&gt;"",G11&lt;&gt;"",H11&lt;&gt;"",I11&lt;&gt;"",J11&lt;&gt;"",L11&lt;&gt;"",M11&lt;&gt;""),IF(COUNTIF($C$2:C11,"&lt;&gt;")=0,"",A10),""))</f>
        <v>TX-000005</v>
      </c>
      <c r="B11" s="2" t="n">
        <v>45806</v>
      </c>
      <c r="C11" s="3" t="s">
        <v>15</v>
      </c>
      <c r="D11" s="3" t="s">
        <v>5</v>
      </c>
      <c r="F11" s="3" t="s">
        <v>17</v>
      </c>
      <c r="G11" s="3" t="s">
        <v>18</v>
      </c>
      <c r="H11" s="3" t="s">
        <v>31</v>
      </c>
      <c r="I11" s="4" t="n">
        <v>10</v>
      </c>
      <c r="J11" s="4" t="n">
        <v>2800</v>
      </c>
      <c r="K11" s="4" t="n">
        <f aca="false">IF(OR(I11="",J11=""),"",I11*J11)</f>
        <v>28000</v>
      </c>
      <c r="M11" s="0" t="n">
        <v>2</v>
      </c>
    </row>
    <row r="12" customFormat="false" ht="15" hidden="false" customHeight="false" outlineLevel="0" collapsed="false">
      <c r="A12" s="0" t="str">
        <f aca="false">IF(C12&lt;&gt;"","TX-"&amp;TEXT(COUNTIF($C$2:C12,"&lt;&gt;"),"000000"),IF(OR(B12&lt;&gt;"",D12&lt;&gt;"",E12&lt;&gt;"",F12&lt;&gt;"",G12&lt;&gt;"",H12&lt;&gt;"",I12&lt;&gt;"",J12&lt;&gt;"",L12&lt;&gt;"",M12&lt;&gt;""),IF(COUNTIF($C$2:C12,"&lt;&gt;")=0,"",A11),""))</f>
        <v>TX-000005</v>
      </c>
      <c r="F12" s="0" t="s">
        <v>34</v>
      </c>
      <c r="G12" s="0" t="s">
        <v>18</v>
      </c>
      <c r="I12" s="4" t="n">
        <v>100</v>
      </c>
      <c r="J12" s="4" t="n">
        <v>650</v>
      </c>
      <c r="K12" s="4" t="n">
        <f aca="false">IF(OR(I12="",J12=""),"",I12*J12)</f>
        <v>65000</v>
      </c>
    </row>
    <row r="13" customFormat="false" ht="15" hidden="false" customHeight="false" outlineLevel="0" collapsed="false">
      <c r="A13" s="0" t="str">
        <f aca="false">IF(C13&lt;&gt;"","TX-"&amp;TEXT(COUNTIF($C$2:C13,"&lt;&gt;"),"000000"),IF(OR(B13&lt;&gt;"",D13&lt;&gt;"",E13&lt;&gt;"",F13&lt;&gt;"",G13&lt;&gt;"",H13&lt;&gt;"",I13&lt;&gt;"",J13&lt;&gt;"",L13&lt;&gt;"",M13&lt;&gt;""),IF(COUNTIF($C$2:C13,"&lt;&gt;")=0,"",A12),""))</f>
        <v>TX-000006</v>
      </c>
      <c r="B13" s="2" t="n">
        <v>45809</v>
      </c>
      <c r="C13" s="3" t="s">
        <v>15</v>
      </c>
      <c r="D13" s="3" t="s">
        <v>5</v>
      </c>
      <c r="F13" s="3" t="s">
        <v>17</v>
      </c>
      <c r="G13" s="3" t="s">
        <v>18</v>
      </c>
      <c r="H13" s="3" t="s">
        <v>31</v>
      </c>
      <c r="I13" s="4" t="n">
        <v>12</v>
      </c>
      <c r="J13" s="4" t="n">
        <v>5700</v>
      </c>
      <c r="K13" s="4" t="n">
        <f aca="false">IF(OR(I13="",J13=""),"",I13*J13)</f>
        <v>68400</v>
      </c>
    </row>
    <row r="14" customFormat="false" ht="15" hidden="false" customHeight="false" outlineLevel="0" collapsed="false">
      <c r="A14" s="0" t="str">
        <f aca="false">IF(C14&lt;&gt;"","TX-"&amp;TEXT(COUNTIF($C$2:C14,"&lt;&gt;"),"000000"),IF(OR(B14&lt;&gt;"",D14&lt;&gt;"",E14&lt;&gt;"",F14&lt;&gt;"",G14&lt;&gt;"",H14&lt;&gt;"",I14&lt;&gt;"",J14&lt;&gt;"",L14&lt;&gt;"",M14&lt;&gt;""),IF(COUNTIF($C$2:C14,"&lt;&gt;")=0,"",A13),""))</f>
        <v>TX-000006</v>
      </c>
      <c r="F14" s="0" t="s">
        <v>35</v>
      </c>
      <c r="G14" s="0" t="s">
        <v>18</v>
      </c>
      <c r="I14" s="4" t="n">
        <v>50</v>
      </c>
      <c r="J14" s="4" t="n">
        <v>650</v>
      </c>
      <c r="K14" s="4" t="n">
        <f aca="false">IF(OR(I14="",J14=""),"",I14*J14)</f>
        <v>32500</v>
      </c>
    </row>
    <row r="15" customFormat="false" ht="15" hidden="false" customHeight="false" outlineLevel="0" collapsed="false">
      <c r="A15" s="0" t="str">
        <f aca="false">IF(C15&lt;&gt;"","TX-"&amp;TEXT(COUNTIF($C$2:C15,"&lt;&gt;"),"000000"),IF(OR(B15&lt;&gt;"",D15&lt;&gt;"",E15&lt;&gt;"",F15&lt;&gt;"",G15&lt;&gt;"",H15&lt;&gt;"",I15&lt;&gt;"",J15&lt;&gt;"",L15&lt;&gt;"",M15&lt;&gt;""),IF(COUNTIF($C$2:C15,"&lt;&gt;")=0,"",A14),""))</f>
        <v>TX-000006</v>
      </c>
      <c r="F15" s="0" t="s">
        <v>36</v>
      </c>
      <c r="G15" s="0" t="s">
        <v>18</v>
      </c>
      <c r="H15" s="0" t="s">
        <v>37</v>
      </c>
      <c r="I15" s="4" t="n">
        <v>20</v>
      </c>
      <c r="J15" s="4" t="n">
        <v>6000</v>
      </c>
      <c r="K15" s="4" t="n">
        <f aca="false">IF(OR(I15="",J15=""),"",I15*J15)</f>
        <v>120000</v>
      </c>
    </row>
    <row r="16" customFormat="false" ht="15" hidden="false" customHeight="false" outlineLevel="0" collapsed="false">
      <c r="A16" s="0" t="str">
        <f aca="false">IF(C16&lt;&gt;"","TX-"&amp;TEXT(COUNTIF($C$2:C16,"&lt;&gt;"),"000000"),IF(OR(B16&lt;&gt;"",D16&lt;&gt;"",E16&lt;&gt;"",F16&lt;&gt;"",G16&lt;&gt;"",H16&lt;&gt;"",I16&lt;&gt;"",J16&lt;&gt;"",L16&lt;&gt;"",M16&lt;&gt;""),IF(COUNTIF($C$2:C16,"&lt;&gt;")=0,"",A15),""))</f>
        <v>TX-000006</v>
      </c>
      <c r="F16" s="0" t="s">
        <v>36</v>
      </c>
      <c r="G16" s="0" t="s">
        <v>18</v>
      </c>
      <c r="H16" s="0" t="s">
        <v>38</v>
      </c>
      <c r="I16" s="4" t="n">
        <v>10</v>
      </c>
      <c r="J16" s="4" t="n">
        <v>6000</v>
      </c>
      <c r="K16" s="4" t="n">
        <f aca="false">IF(OR(I16="",J16=""),"",I16*J16)</f>
        <v>60000</v>
      </c>
      <c r="M16" s="0" t="n">
        <v>3</v>
      </c>
    </row>
    <row r="17" customFormat="false" ht="15" hidden="false" customHeight="false" outlineLevel="0" collapsed="false">
      <c r="A17" s="0" t="str">
        <f aca="false">IF(C17&lt;&gt;"","TX-"&amp;TEXT(COUNTIF($C$2:C17,"&lt;&gt;"),"000000"),IF(OR(B17&lt;&gt;"",D17&lt;&gt;"",E17&lt;&gt;"",F17&lt;&gt;"",G17&lt;&gt;"",H17&lt;&gt;"",I17&lt;&gt;"",J17&lt;&gt;"",L17&lt;&gt;"",M17&lt;&gt;""),IF(COUNTIF($C$2:C17,"&lt;&gt;")=0,"",A16),""))</f>
        <v>TX-000007</v>
      </c>
      <c r="B17" s="2" t="n">
        <v>45780</v>
      </c>
      <c r="C17" s="3" t="s">
        <v>15</v>
      </c>
      <c r="D17" s="3" t="s">
        <v>5</v>
      </c>
      <c r="F17" s="3" t="s">
        <v>39</v>
      </c>
      <c r="G17" s="3" t="s">
        <v>40</v>
      </c>
      <c r="H17" s="3" t="s">
        <v>31</v>
      </c>
      <c r="I17" s="4" t="n">
        <v>24</v>
      </c>
      <c r="J17" s="4" t="n">
        <v>2700</v>
      </c>
      <c r="K17" s="4" t="n">
        <f aca="false">IF(OR(I17="",J17=""),"",I17*J17)</f>
        <v>64800</v>
      </c>
    </row>
    <row r="18" customFormat="false" ht="15" hidden="false" customHeight="false" outlineLevel="0" collapsed="false">
      <c r="A18" s="0" t="str">
        <f aca="false">IF(C18&lt;&gt;"","TX-"&amp;TEXT(COUNTIF($C$2:C18,"&lt;&gt;"),"000000"),IF(OR(B18&lt;&gt;"",D18&lt;&gt;"",E18&lt;&gt;"",F18&lt;&gt;"",G18&lt;&gt;"",H18&lt;&gt;"",I18&lt;&gt;"",J18&lt;&gt;"",L18&lt;&gt;"",M18&lt;&gt;""),IF(COUNTIF($C$2:C18,"&lt;&gt;")=0,"",A17),""))</f>
        <v>TX-000008</v>
      </c>
      <c r="B18" s="2" t="n">
        <v>45811</v>
      </c>
      <c r="C18" s="3" t="s">
        <v>15</v>
      </c>
      <c r="D18" s="3" t="s">
        <v>5</v>
      </c>
      <c r="J18" s="4" t="n">
        <v>5000</v>
      </c>
      <c r="K18" s="4" t="n">
        <v>25000</v>
      </c>
    </row>
    <row r="19" customFormat="false" ht="15" hidden="false" customHeight="false" outlineLevel="0" collapsed="false">
      <c r="A19" s="0" t="str">
        <f aca="false">IF(C19&lt;&gt;"","TX-"&amp;TEXT(COUNTIF($C$2:C19,"&lt;&gt;"),"000000"),IF(OR(B19&lt;&gt;"",D19&lt;&gt;"",E19&lt;&gt;"",F19&lt;&gt;"",G19&lt;&gt;"",H19&lt;&gt;"",I19&lt;&gt;"",J19&lt;&gt;"",L19&lt;&gt;"",M19&lt;&gt;""),IF(COUNTIF($C$2:C19,"&lt;&gt;")=0,"",A18),""))</f>
        <v>TX-000009</v>
      </c>
      <c r="B19" s="2" t="n">
        <v>45813</v>
      </c>
      <c r="C19" s="3" t="s">
        <v>15</v>
      </c>
      <c r="D19" s="3" t="s">
        <v>5</v>
      </c>
      <c r="F19" s="3" t="s">
        <v>17</v>
      </c>
      <c r="G19" s="3" t="s">
        <v>18</v>
      </c>
      <c r="H19" s="3" t="s">
        <v>31</v>
      </c>
      <c r="I19" s="4" t="n">
        <v>5</v>
      </c>
      <c r="J19" s="4" t="n">
        <v>5500</v>
      </c>
      <c r="K19" s="4" t="n">
        <f aca="false">IF(OR(I19="",J19=""),"",I19*J19)</f>
        <v>27500</v>
      </c>
    </row>
    <row r="20" customFormat="false" ht="15" hidden="false" customHeight="false" outlineLevel="0" collapsed="false">
      <c r="A20" s="0" t="str">
        <f aca="false">IF(C20&lt;&gt;"","TX-"&amp;TEXT(COUNTIF($C$2:C20,"&lt;&gt;"),"000000"),IF(OR(B20&lt;&gt;"",D20&lt;&gt;"",E20&lt;&gt;"",F20&lt;&gt;"",G20&lt;&gt;"",H20&lt;&gt;"",I20&lt;&gt;"",J20&lt;&gt;"",L20&lt;&gt;"",M20&lt;&gt;""),IF(COUNTIF($C$2:C20,"&lt;&gt;")=0,"",A19),""))</f>
        <v>TX-000009</v>
      </c>
      <c r="F20" s="0" t="s">
        <v>20</v>
      </c>
      <c r="G20" s="0" t="s">
        <v>18</v>
      </c>
      <c r="H20" s="0" t="s">
        <v>28</v>
      </c>
      <c r="K20" s="4" t="n">
        <v>3000</v>
      </c>
    </row>
    <row r="21" customFormat="false" ht="15" hidden="false" customHeight="false" outlineLevel="0" collapsed="false">
      <c r="A21" s="0" t="str">
        <f aca="false">IF(C21&lt;&gt;"","TX-"&amp;TEXT(COUNTIF($C$2:C21,"&lt;&gt;"),"000000"),IF(OR(B21&lt;&gt;"",D21&lt;&gt;"",E21&lt;&gt;"",F21&lt;&gt;"",G21&lt;&gt;"",H21&lt;&gt;"",I21&lt;&gt;"",J21&lt;&gt;"",L21&lt;&gt;"",M21&lt;&gt;""),IF(COUNTIF($C$2:C21,"&lt;&gt;")=0,"",A20),""))</f>
        <v>TX-000010</v>
      </c>
      <c r="B21" s="2" t="n">
        <v>45814</v>
      </c>
      <c r="C21" s="3" t="s">
        <v>41</v>
      </c>
      <c r="D21" s="3" t="s">
        <v>5</v>
      </c>
      <c r="E21" s="3" t="s">
        <v>42</v>
      </c>
      <c r="F21" s="3" t="s">
        <v>17</v>
      </c>
      <c r="G21" s="3" t="s">
        <v>18</v>
      </c>
      <c r="H21" s="3" t="s">
        <v>31</v>
      </c>
      <c r="I21" s="4" t="n">
        <v>3</v>
      </c>
      <c r="J21" s="4" t="n">
        <v>8500</v>
      </c>
      <c r="K21" s="4" t="n">
        <f aca="false">IF(OR(I21="",J21=""),"",I21*J21)</f>
        <v>25500</v>
      </c>
      <c r="L21" s="4" t="n">
        <v>5000</v>
      </c>
      <c r="M21" s="0" t="n">
        <v>4</v>
      </c>
    </row>
    <row r="22" customFormat="false" ht="15" hidden="false" customHeight="false" outlineLevel="0" collapsed="false">
      <c r="A22" s="0" t="str">
        <f aca="false">IF(C22&lt;&gt;"","TX-"&amp;TEXT(COUNTIF($C$2:C22,"&lt;&gt;"),"000000"),IF(OR(B22&lt;&gt;"",D22&lt;&gt;"",E22&lt;&gt;"",F22&lt;&gt;"",G22&lt;&gt;"",H22&lt;&gt;"",I22&lt;&gt;"",J22&lt;&gt;"",L22&lt;&gt;"",M22&lt;&gt;""),IF(COUNTIF($C$2:C22,"&lt;&gt;")=0,"",A21),""))</f>
        <v>TX-000011</v>
      </c>
      <c r="B22" s="2" t="n">
        <v>45814</v>
      </c>
      <c r="C22" s="3" t="s">
        <v>41</v>
      </c>
      <c r="D22" s="3" t="s">
        <v>43</v>
      </c>
      <c r="E22" s="3" t="s">
        <v>44</v>
      </c>
      <c r="F22" s="3" t="s">
        <v>17</v>
      </c>
      <c r="G22" s="3" t="s">
        <v>18</v>
      </c>
      <c r="H22" s="3" t="s">
        <v>45</v>
      </c>
      <c r="I22" s="4" t="n">
        <v>2</v>
      </c>
      <c r="J22" s="4" t="n">
        <v>45000</v>
      </c>
      <c r="K22" s="4" t="n">
        <f aca="false">IF(OR(I22="",J22=""),"",I22*J22)</f>
        <v>90000</v>
      </c>
      <c r="L22" s="4" t="n">
        <v>12000</v>
      </c>
    </row>
    <row r="23" customFormat="false" ht="15" hidden="false" customHeight="false" outlineLevel="0" collapsed="false">
      <c r="A23" s="0" t="str">
        <f aca="false">IF(C23&lt;&gt;"","TX-"&amp;TEXT(COUNTIF($C$2:C23,"&lt;&gt;"),"000000"),IF(OR(B23&lt;&gt;"",D23&lt;&gt;"",E23&lt;&gt;"",F23&lt;&gt;"",G23&lt;&gt;"",H23&lt;&gt;"",I23&lt;&gt;"",J23&lt;&gt;"",L23&lt;&gt;"",M23&lt;&gt;""),IF(COUNTIF($C$2:C23,"&lt;&gt;")=0,"",A22),""))</f>
        <v>TX-000011</v>
      </c>
      <c r="F23" s="0" t="s">
        <v>36</v>
      </c>
      <c r="G23" s="0" t="s">
        <v>18</v>
      </c>
      <c r="H23" s="0" t="s">
        <v>46</v>
      </c>
      <c r="I23" s="4" t="n">
        <v>2</v>
      </c>
      <c r="J23" s="4" t="n">
        <v>18000</v>
      </c>
      <c r="K23" s="4" t="n">
        <f aca="false">IF(OR(I23="",J23=""),"",I23*J23)</f>
        <v>36000</v>
      </c>
    </row>
    <row r="24" customFormat="false" ht="15" hidden="false" customHeight="false" outlineLevel="0" collapsed="false">
      <c r="A24" s="0" t="str">
        <f aca="false">IF(C24&lt;&gt;"","TX-"&amp;TEXT(COUNTIF($C$2:C24,"&lt;&gt;"),"000000"),IF(OR(B24&lt;&gt;"",D24&lt;&gt;"",E24&lt;&gt;"",F24&lt;&gt;"",G24&lt;&gt;"",H24&lt;&gt;"",I24&lt;&gt;"",J24&lt;&gt;"",L24&lt;&gt;"",M24&lt;&gt;""),IF(COUNTIF($C$2:C24,"&lt;&gt;")=0,"",A23),""))</f>
        <v>TX-000011</v>
      </c>
      <c r="F24" s="0" t="s">
        <v>20</v>
      </c>
      <c r="G24" s="0" t="s">
        <v>18</v>
      </c>
      <c r="I24" s="4" t="n">
        <v>4</v>
      </c>
      <c r="J24" s="4" t="n">
        <v>1500</v>
      </c>
      <c r="K24" s="4" t="n">
        <f aca="false">IF(OR(I24="",J24=""),"",I24*J24)</f>
        <v>6000</v>
      </c>
    </row>
    <row r="25" customFormat="false" ht="15" hidden="false" customHeight="false" outlineLevel="0" collapsed="false">
      <c r="A25" s="0" t="str">
        <f aca="false">IF(C25&lt;&gt;"","TX-"&amp;TEXT(COUNTIF($C$2:C25,"&lt;&gt;"),"000000"),IF(OR(B25&lt;&gt;"",D25&lt;&gt;"",E25&lt;&gt;"",F25&lt;&gt;"",G25&lt;&gt;"",H25&lt;&gt;"",I25&lt;&gt;"",J25&lt;&gt;"",L25&lt;&gt;"",M25&lt;&gt;""),IF(COUNTIF($C$2:C25,"&lt;&gt;")=0,"",A24),""))</f>
        <v>TX-000012</v>
      </c>
      <c r="B25" s="2" t="n">
        <v>45815</v>
      </c>
      <c r="C25" s="3" t="s">
        <v>47</v>
      </c>
      <c r="D25" s="3" t="s">
        <v>5</v>
      </c>
      <c r="I25" s="4" t="n">
        <v>12</v>
      </c>
      <c r="J25" s="4" t="n">
        <v>3500</v>
      </c>
      <c r="K25" s="4" t="n">
        <f aca="false">IF(OR(I25="",J25=""),"",I25*J25)</f>
        <v>42000</v>
      </c>
    </row>
    <row r="26" customFormat="false" ht="15" hidden="false" customHeight="false" outlineLevel="0" collapsed="false">
      <c r="A26" s="0" t="str">
        <f aca="false">IF(C26&lt;&gt;"","TX-"&amp;TEXT(COUNTIF($C$2:C26,"&lt;&gt;"),"000000"),IF(OR(B26&lt;&gt;"",D26&lt;&gt;"",E26&lt;&gt;"",F26&lt;&gt;"",G26&lt;&gt;"",H26&lt;&gt;"",I26&lt;&gt;"",J26&lt;&gt;"",L26&lt;&gt;"",M26&lt;&gt;""),IF(COUNTIF($C$2:C26,"&lt;&gt;")=0,"",A25),""))</f>
        <v>TX-000013</v>
      </c>
      <c r="B26" s="2" t="n">
        <v>45816</v>
      </c>
      <c r="C26" s="3" t="s">
        <v>41</v>
      </c>
      <c r="D26" s="3" t="s">
        <v>5</v>
      </c>
      <c r="F26" s="3" t="s">
        <v>20</v>
      </c>
      <c r="G26" s="3" t="s">
        <v>18</v>
      </c>
      <c r="I26" s="4" t="n">
        <v>10</v>
      </c>
      <c r="J26" s="4" t="n">
        <v>500</v>
      </c>
      <c r="K26" s="4" t="n">
        <v>4500</v>
      </c>
      <c r="L26" s="4" t="n">
        <v>-500</v>
      </c>
    </row>
    <row r="27" customFormat="false" ht="15" hidden="false" customHeight="false" outlineLevel="0" collapsed="false">
      <c r="A27" s="0" t="str">
        <f aca="false">IF(C27&lt;&gt;"","TX-"&amp;TEXT(COUNTIF($C$2:C27,"&lt;&gt;"),"000000"),IF(OR(B27&lt;&gt;"",D27&lt;&gt;"",E27&lt;&gt;"",F27&lt;&gt;"",G27&lt;&gt;"",H27&lt;&gt;"",I27&lt;&gt;"",J27&lt;&gt;"",L27&lt;&gt;"",M27&lt;&gt;""),IF(COUNTIF($C$2:C27,"&lt;&gt;")=0,"",A26),""))</f>
        <v>TX-000014</v>
      </c>
      <c r="B27" s="2" t="n">
        <v>45816</v>
      </c>
      <c r="C27" s="3" t="s">
        <v>41</v>
      </c>
      <c r="D27" s="3" t="s">
        <v>5</v>
      </c>
      <c r="F27" s="3" t="s">
        <v>17</v>
      </c>
      <c r="G27" s="3" t="s">
        <v>18</v>
      </c>
      <c r="H27" s="3" t="s">
        <v>31</v>
      </c>
      <c r="I27" s="4" t="n">
        <v>1</v>
      </c>
      <c r="J27" s="4" t="n">
        <v>7000</v>
      </c>
      <c r="K27" s="4" t="n">
        <f aca="false">IF(OR(I27="",J27=""),"",I27*J27)</f>
        <v>7000</v>
      </c>
      <c r="L27" s="4" t="n">
        <v>0</v>
      </c>
    </row>
    <row r="28" customFormat="false" ht="15" hidden="false" customHeight="false" outlineLevel="0" collapsed="false">
      <c r="A28" s="0" t="str">
        <f aca="false">IF(C28&lt;&gt;"","TX-"&amp;TEXT(COUNTIF($C$2:C28,"&lt;&gt;"),"000000"),IF(OR(B28&lt;&gt;"",D28&lt;&gt;"",E28&lt;&gt;"",F28&lt;&gt;"",G28&lt;&gt;"",H28&lt;&gt;"",I28&lt;&gt;"",J28&lt;&gt;"",L28&lt;&gt;"",M28&lt;&gt;""),IF(COUNTIF($C$2:C28,"&lt;&gt;")=0,"",A27),""))</f>
        <v>TX-000015</v>
      </c>
      <c r="B28" s="2" t="n">
        <v>45817</v>
      </c>
      <c r="C28" s="3" t="s">
        <v>41</v>
      </c>
      <c r="D28" s="3" t="s">
        <v>5</v>
      </c>
      <c r="E28" s="3" t="s">
        <v>48</v>
      </c>
      <c r="F28" s="3" t="s">
        <v>17</v>
      </c>
      <c r="G28" s="3" t="s">
        <v>18</v>
      </c>
      <c r="H28" s="3" t="s">
        <v>31</v>
      </c>
      <c r="I28" s="4" t="n">
        <v>2</v>
      </c>
      <c r="J28" s="4" t="n">
        <v>9000</v>
      </c>
      <c r="K28" s="4" t="n">
        <f aca="false">IF(OR(I28="",J28=""),"",I28*J28)</f>
        <v>18000</v>
      </c>
      <c r="L28" s="4" t="n">
        <v>30000</v>
      </c>
    </row>
    <row r="29" customFormat="false" ht="15" hidden="false" customHeight="false" outlineLevel="0" collapsed="false">
      <c r="A29" s="0" t="str">
        <f aca="false">IF(C29&lt;&gt;"","TX-"&amp;TEXT(COUNTIF($C$2:C29,"&lt;&gt;"),"000000"),IF(OR(B29&lt;&gt;"",D29&lt;&gt;"",E29&lt;&gt;"",F29&lt;&gt;"",G29&lt;&gt;"",H29&lt;&gt;"",I29&lt;&gt;"",J29&lt;&gt;"",L29&lt;&gt;"",M29&lt;&gt;""),IF(COUNTIF($C$2:C29,"&lt;&gt;")=0,"",A28),""))</f>
        <v>TX-000016</v>
      </c>
      <c r="B29" s="2" t="n">
        <v>45818</v>
      </c>
      <c r="C29" s="3" t="s">
        <v>49</v>
      </c>
      <c r="D29" s="3" t="s">
        <v>5</v>
      </c>
      <c r="H29" s="3" t="s">
        <v>50</v>
      </c>
      <c r="K29" s="4" t="n">
        <v>4000</v>
      </c>
      <c r="M29" s="0" t="n">
        <v>5</v>
      </c>
    </row>
    <row r="30" customFormat="false" ht="15" hidden="false" customHeight="false" outlineLevel="0" collapsed="false">
      <c r="A30" s="0" t="str">
        <f aca="false">IF(C30&lt;&gt;"","TX-"&amp;TEXT(COUNTIF($C$2:C30,"&lt;&gt;"),"000000"),IF(OR(B30&lt;&gt;"",D30&lt;&gt;"",E30&lt;&gt;"",F30&lt;&gt;"",G30&lt;&gt;"",H30&lt;&gt;"",I30&lt;&gt;"",J30&lt;&gt;"",L30&lt;&gt;"",M30&lt;&gt;""),IF(COUNTIF($C$2:C30,"&lt;&gt;")=0,"",A29),""))</f>
        <v>TX-000017</v>
      </c>
      <c r="B30" s="2" t="n">
        <v>45816</v>
      </c>
      <c r="C30" s="3" t="s">
        <v>41</v>
      </c>
      <c r="D30" s="3" t="s">
        <v>5</v>
      </c>
      <c r="F30" s="3" t="s">
        <v>17</v>
      </c>
      <c r="G30" s="3" t="s">
        <v>18</v>
      </c>
      <c r="H30" s="3" t="s">
        <v>31</v>
      </c>
      <c r="I30" s="4" t="n">
        <v>1</v>
      </c>
      <c r="J30" s="4" t="n">
        <v>7000</v>
      </c>
      <c r="K30" s="4" t="n">
        <f aca="false">IF(OR(I30="",J30=""),"",I30*J30)</f>
        <v>7000</v>
      </c>
      <c r="L30" s="4" t="n">
        <v>0</v>
      </c>
    </row>
    <row r="31" customFormat="false" ht="15" hidden="false" customHeight="false" outlineLevel="0" collapsed="false">
      <c r="A31" s="0" t="str">
        <f aca="false">IF(C31&lt;&gt;"","TX-"&amp;TEXT(COUNTIF($C$2:C31,"&lt;&gt;"),"000000"),IF(OR(B31&lt;&gt;"",D31&lt;&gt;"",E31&lt;&gt;"",F31&lt;&gt;"",G31&lt;&gt;"",H31&lt;&gt;"",I31&lt;&gt;"",J31&lt;&gt;"",L31&lt;&gt;"",M31&lt;&gt;""),IF(COUNTIF($C$2:C31,"&lt;&gt;")=0,"",A30),""))</f>
        <v>TX-000018</v>
      </c>
      <c r="B31" s="2" t="n">
        <v>45819</v>
      </c>
      <c r="C31" s="3" t="s">
        <v>49</v>
      </c>
      <c r="D31" s="3" t="s">
        <v>5</v>
      </c>
      <c r="H31" s="3" t="s">
        <v>51</v>
      </c>
      <c r="I31" s="4" t="n">
        <v>4</v>
      </c>
      <c r="J31" s="4" t="n">
        <v>500</v>
      </c>
      <c r="K31" s="4" t="n">
        <f aca="false">IF(OR(I31="",J31=""),"",I31*J31)</f>
        <v>2000</v>
      </c>
    </row>
    <row r="32" customFormat="false" ht="15" hidden="false" customHeight="false" outlineLevel="0" collapsed="false">
      <c r="A32" s="0" t="str">
        <f aca="false">IF(C32&lt;&gt;"","TX-"&amp;TEXT(COUNTIF($C$2:C32,"&lt;&gt;"),"000000"),IF(OR(B32&lt;&gt;"",D32&lt;&gt;"",E32&lt;&gt;"",F32&lt;&gt;"",G32&lt;&gt;"",H32&lt;&gt;"",I32&lt;&gt;"",J32&lt;&gt;"",L32&lt;&gt;"",M32&lt;&gt;""),IF(COUNTIF($C$2:C32,"&lt;&gt;")=0,"",A31),""))</f>
        <v>TX-000019</v>
      </c>
      <c r="B32" s="2" t="n">
        <v>45820</v>
      </c>
      <c r="C32" s="3" t="s">
        <v>49</v>
      </c>
      <c r="D32" s="3" t="s">
        <v>52</v>
      </c>
      <c r="E32" s="3" t="s">
        <v>53</v>
      </c>
      <c r="H32" s="3" t="s">
        <v>54</v>
      </c>
      <c r="K32" s="4" t="n">
        <v>18500</v>
      </c>
    </row>
    <row r="33" customFormat="false" ht="15" hidden="false" customHeight="false" outlineLevel="0" collapsed="false">
      <c r="K33" s="0" t="n">
        <f aca="false">I33*J33</f>
        <v>0</v>
      </c>
    </row>
    <row r="34" customFormat="false" ht="15" hidden="false" customHeight="false" outlineLevel="0" collapsed="false">
      <c r="K34" s="0" t="n">
        <f aca="false">I34*J34</f>
        <v>0</v>
      </c>
    </row>
    <row r="35" customFormat="false" ht="15" hidden="false" customHeight="false" outlineLevel="0" collapsed="false">
      <c r="K35" s="0" t="n">
        <f aca="false">I35*J35</f>
        <v>0</v>
      </c>
    </row>
    <row r="36" customFormat="false" ht="15" hidden="false" customHeight="false" outlineLevel="0" collapsed="false">
      <c r="K36" s="0" t="n">
        <f aca="false">I36*J36</f>
        <v>0</v>
      </c>
    </row>
    <row r="37" customFormat="false" ht="15" hidden="false" customHeight="false" outlineLevel="0" collapsed="false">
      <c r="K37" s="0" t="n">
        <f aca="false">I37*J37</f>
        <v>0</v>
      </c>
    </row>
    <row r="38" customFormat="false" ht="15" hidden="false" customHeight="false" outlineLevel="0" collapsed="false">
      <c r="K38" s="0" t="n">
        <f aca="false">I38*J38</f>
        <v>0</v>
      </c>
    </row>
    <row r="39" customFormat="false" ht="15" hidden="false" customHeight="false" outlineLevel="0" collapsed="false">
      <c r="K39" s="0" t="n">
        <f aca="false">I39*J39</f>
        <v>0</v>
      </c>
    </row>
    <row r="40" customFormat="false" ht="15" hidden="false" customHeight="false" outlineLevel="0" collapsed="false">
      <c r="K40" s="0" t="n">
        <f aca="false">I40*J40</f>
        <v>0</v>
      </c>
    </row>
    <row r="41" customFormat="false" ht="15" hidden="false" customHeight="false" outlineLevel="0" collapsed="false">
      <c r="K41" s="0" t="n">
        <f aca="false">I41*J41</f>
        <v>0</v>
      </c>
    </row>
    <row r="42" customFormat="false" ht="15" hidden="false" customHeight="false" outlineLevel="0" collapsed="false">
      <c r="K42" s="0" t="n">
        <f aca="false">I42*J42</f>
        <v>0</v>
      </c>
    </row>
    <row r="43" customFormat="false" ht="15" hidden="false" customHeight="false" outlineLevel="0" collapsed="false">
      <c r="K43" s="0" t="n">
        <f aca="false">I43*J43</f>
        <v>0</v>
      </c>
    </row>
    <row r="44" customFormat="false" ht="15" hidden="false" customHeight="false" outlineLevel="0" collapsed="false">
      <c r="K44" s="0" t="n">
        <f aca="false">I44*J44</f>
        <v>0</v>
      </c>
    </row>
    <row r="45" customFormat="false" ht="15" hidden="false" customHeight="false" outlineLevel="0" collapsed="false">
      <c r="K45" s="0" t="n">
        <f aca="false">I45*J45</f>
        <v>0</v>
      </c>
    </row>
    <row r="46" customFormat="false" ht="15" hidden="false" customHeight="false" outlineLevel="0" collapsed="false">
      <c r="K46" s="0" t="n">
        <f aca="false">I46*J46</f>
        <v>0</v>
      </c>
    </row>
    <row r="47" customFormat="false" ht="15" hidden="false" customHeight="false" outlineLevel="0" collapsed="false">
      <c r="K47" s="0" t="n">
        <f aca="false">I47*J47</f>
        <v>0</v>
      </c>
    </row>
    <row r="48" customFormat="false" ht="15" hidden="false" customHeight="false" outlineLevel="0" collapsed="false">
      <c r="K48" s="0" t="n">
        <f aca="false">I48*J48</f>
        <v>0</v>
      </c>
    </row>
    <row r="49" customFormat="false" ht="15" hidden="false" customHeight="false" outlineLevel="0" collapsed="false">
      <c r="K49" s="0" t="n">
        <f aca="false">I49*J49</f>
        <v>0</v>
      </c>
    </row>
    <row r="50" customFormat="false" ht="15" hidden="false" customHeight="false" outlineLevel="0" collapsed="false">
      <c r="K50" s="0" t="n">
        <f aca="false">I50*J50</f>
        <v>0</v>
      </c>
    </row>
    <row r="51" customFormat="false" ht="15" hidden="false" customHeight="false" outlineLevel="0" collapsed="false">
      <c r="K51" s="0" t="n">
        <f aca="false">I51*J51</f>
        <v>0</v>
      </c>
    </row>
    <row r="52" customFormat="false" ht="15" hidden="false" customHeight="false" outlineLevel="0" collapsed="false">
      <c r="K52" s="0" t="n">
        <f aca="false">I52*J52</f>
        <v>0</v>
      </c>
    </row>
    <row r="53" customFormat="false" ht="15" hidden="false" customHeight="false" outlineLevel="0" collapsed="false">
      <c r="K53" s="0" t="n">
        <f aca="false">I53*J53</f>
        <v>0</v>
      </c>
    </row>
    <row r="54" customFormat="false" ht="15" hidden="false" customHeight="false" outlineLevel="0" collapsed="false">
      <c r="K54" s="0" t="n">
        <f aca="false">I54*J54</f>
        <v>0</v>
      </c>
    </row>
    <row r="55" customFormat="false" ht="15" hidden="false" customHeight="false" outlineLevel="0" collapsed="false">
      <c r="K55" s="0" t="n">
        <f aca="false">I55*J55</f>
        <v>0</v>
      </c>
    </row>
    <row r="56" customFormat="false" ht="15" hidden="false" customHeight="false" outlineLevel="0" collapsed="false">
      <c r="K56" s="0" t="n">
        <f aca="false">I56*J56</f>
        <v>0</v>
      </c>
    </row>
    <row r="57" customFormat="false" ht="15" hidden="false" customHeight="false" outlineLevel="0" collapsed="false">
      <c r="K57" s="0" t="n">
        <f aca="false">I57*J57</f>
        <v>0</v>
      </c>
    </row>
    <row r="58" customFormat="false" ht="15" hidden="false" customHeight="false" outlineLevel="0" collapsed="false">
      <c r="K58" s="0" t="n">
        <f aca="false">I58*J58</f>
        <v>0</v>
      </c>
    </row>
    <row r="59" customFormat="false" ht="15" hidden="false" customHeight="false" outlineLevel="0" collapsed="false">
      <c r="K59" s="0" t="n">
        <f aca="false">I59*J59</f>
        <v>0</v>
      </c>
    </row>
    <row r="60" customFormat="false" ht="15" hidden="false" customHeight="false" outlineLevel="0" collapsed="false">
      <c r="K60" s="0" t="n">
        <f aca="false">I60*J60</f>
        <v>0</v>
      </c>
    </row>
    <row r="61" customFormat="false" ht="15" hidden="false" customHeight="false" outlineLevel="0" collapsed="false">
      <c r="K61" s="0" t="n">
        <f aca="false">I61*J61</f>
        <v>0</v>
      </c>
    </row>
    <row r="62" customFormat="false" ht="15" hidden="false" customHeight="false" outlineLevel="0" collapsed="false">
      <c r="K62" s="0" t="n">
        <f aca="false">I62*J62</f>
        <v>0</v>
      </c>
    </row>
    <row r="63" customFormat="false" ht="15" hidden="false" customHeight="false" outlineLevel="0" collapsed="false">
      <c r="K63" s="0" t="n">
        <f aca="false">I63*J63</f>
        <v>0</v>
      </c>
    </row>
    <row r="64" customFormat="false" ht="15" hidden="false" customHeight="false" outlineLevel="0" collapsed="false">
      <c r="K64" s="0" t="n">
        <f aca="false">I64*J64</f>
        <v>0</v>
      </c>
    </row>
    <row r="65" customFormat="false" ht="15" hidden="false" customHeight="false" outlineLevel="0" collapsed="false">
      <c r="K65" s="0" t="n">
        <f aca="false">I65*J65</f>
        <v>0</v>
      </c>
    </row>
    <row r="66" customFormat="false" ht="15" hidden="false" customHeight="false" outlineLevel="0" collapsed="false">
      <c r="K66" s="0" t="n">
        <f aca="false">I66*J66</f>
        <v>0</v>
      </c>
    </row>
    <row r="67" customFormat="false" ht="15" hidden="false" customHeight="false" outlineLevel="0" collapsed="false">
      <c r="K67" s="0" t="n">
        <f aca="false">I67*J67</f>
        <v>0</v>
      </c>
    </row>
    <row r="68" customFormat="false" ht="15" hidden="false" customHeight="false" outlineLevel="0" collapsed="false">
      <c r="K68" s="0" t="n">
        <f aca="false">I68*J68</f>
        <v>0</v>
      </c>
    </row>
    <row r="69" customFormat="false" ht="15" hidden="false" customHeight="false" outlineLevel="0" collapsed="false">
      <c r="K69" s="0" t="n">
        <f aca="false">I69*J69</f>
        <v>0</v>
      </c>
    </row>
    <row r="70" customFormat="false" ht="15" hidden="false" customHeight="false" outlineLevel="0" collapsed="false">
      <c r="K70" s="0" t="n">
        <f aca="false">I70*J70</f>
        <v>0</v>
      </c>
    </row>
    <row r="71" customFormat="false" ht="15" hidden="false" customHeight="false" outlineLevel="0" collapsed="false">
      <c r="K71" s="0" t="n">
        <f aca="false">I71*J71</f>
        <v>0</v>
      </c>
    </row>
    <row r="72" customFormat="false" ht="15" hidden="false" customHeight="false" outlineLevel="0" collapsed="false">
      <c r="K72" s="0" t="n">
        <f aca="false">I72*J72</f>
        <v>0</v>
      </c>
    </row>
    <row r="73" customFormat="false" ht="15" hidden="false" customHeight="false" outlineLevel="0" collapsed="false">
      <c r="K73" s="0" t="n">
        <f aca="false">I73*J73</f>
        <v>0</v>
      </c>
    </row>
    <row r="74" customFormat="false" ht="15" hidden="false" customHeight="false" outlineLevel="0" collapsed="false">
      <c r="K74" s="0" t="n">
        <f aca="false">I74*J74</f>
        <v>0</v>
      </c>
    </row>
    <row r="75" customFormat="false" ht="15" hidden="false" customHeight="false" outlineLevel="0" collapsed="false">
      <c r="K75" s="0" t="n">
        <f aca="false">I75*J75</f>
        <v>0</v>
      </c>
    </row>
    <row r="76" customFormat="false" ht="15" hidden="false" customHeight="false" outlineLevel="0" collapsed="false">
      <c r="K76" s="0" t="n">
        <f aca="false">I76*J76</f>
        <v>0</v>
      </c>
    </row>
    <row r="77" customFormat="false" ht="15" hidden="false" customHeight="false" outlineLevel="0" collapsed="false">
      <c r="K77" s="0" t="n">
        <f aca="false">I77*J77</f>
        <v>0</v>
      </c>
    </row>
    <row r="78" customFormat="false" ht="15" hidden="false" customHeight="false" outlineLevel="0" collapsed="false">
      <c r="K78" s="0" t="n">
        <f aca="false">I78*J78</f>
        <v>0</v>
      </c>
    </row>
    <row r="79" customFormat="false" ht="15" hidden="false" customHeight="false" outlineLevel="0" collapsed="false">
      <c r="K79" s="0" t="n">
        <f aca="false">I79*J79</f>
        <v>0</v>
      </c>
    </row>
    <row r="80" customFormat="false" ht="15" hidden="false" customHeight="false" outlineLevel="0" collapsed="false">
      <c r="K80" s="0" t="n">
        <f aca="false">I80*J80</f>
        <v>0</v>
      </c>
    </row>
    <row r="81" customFormat="false" ht="15" hidden="false" customHeight="false" outlineLevel="0" collapsed="false">
      <c r="K81" s="0" t="n">
        <f aca="false">I81*J81</f>
        <v>0</v>
      </c>
    </row>
    <row r="82" customFormat="false" ht="15" hidden="false" customHeight="false" outlineLevel="0" collapsed="false">
      <c r="K82" s="0" t="n">
        <f aca="false">I82*J82</f>
        <v>0</v>
      </c>
    </row>
    <row r="83" customFormat="false" ht="15" hidden="false" customHeight="false" outlineLevel="0" collapsed="false">
      <c r="K83" s="0" t="n">
        <f aca="false">I83*J83</f>
        <v>0</v>
      </c>
    </row>
    <row r="84" customFormat="false" ht="15" hidden="false" customHeight="false" outlineLevel="0" collapsed="false">
      <c r="K84" s="0" t="n">
        <f aca="false">I84*J84</f>
        <v>0</v>
      </c>
    </row>
    <row r="85" customFormat="false" ht="15" hidden="false" customHeight="false" outlineLevel="0" collapsed="false">
      <c r="K85" s="0" t="n">
        <f aca="false">I85*J85</f>
        <v>0</v>
      </c>
    </row>
    <row r="86" customFormat="false" ht="15" hidden="false" customHeight="false" outlineLevel="0" collapsed="false">
      <c r="K86" s="0" t="n">
        <f aca="false">I86*J86</f>
        <v>0</v>
      </c>
    </row>
    <row r="87" customFormat="false" ht="15" hidden="false" customHeight="false" outlineLevel="0" collapsed="false">
      <c r="K87" s="0" t="n">
        <f aca="false">I87*J87</f>
        <v>0</v>
      </c>
    </row>
    <row r="88" customFormat="false" ht="15" hidden="false" customHeight="false" outlineLevel="0" collapsed="false">
      <c r="K88" s="0" t="n">
        <f aca="false">I88*J88</f>
        <v>0</v>
      </c>
    </row>
    <row r="89" customFormat="false" ht="15" hidden="false" customHeight="false" outlineLevel="0" collapsed="false">
      <c r="K89" s="0" t="n">
        <f aca="false">I89*J89</f>
        <v>0</v>
      </c>
    </row>
    <row r="90" customFormat="false" ht="15" hidden="false" customHeight="false" outlineLevel="0" collapsed="false">
      <c r="K90" s="0" t="n">
        <f aca="false">I90*J90</f>
        <v>0</v>
      </c>
    </row>
    <row r="91" customFormat="false" ht="15" hidden="false" customHeight="false" outlineLevel="0" collapsed="false">
      <c r="K91" s="0" t="n">
        <f aca="false">I91*J91</f>
        <v>0</v>
      </c>
    </row>
    <row r="92" customFormat="false" ht="15" hidden="false" customHeight="false" outlineLevel="0" collapsed="false">
      <c r="K92" s="0" t="n">
        <f aca="false">I92*J92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2026-09-27T19:05:38Z</dcterms:created>
  <dc:creator>openpyxl</dc:creator>
  <dc:description/>
  <dc:language>en-US</dc:language>
  <cp:lastModifiedBy/>
  <dcterms:modified xsi:type="dcterms:W3CDTF">2026-09-27T19:05:38Z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